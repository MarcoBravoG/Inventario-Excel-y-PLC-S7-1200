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co\Desktop\Taller\Logísitca\Tareas\ProyectoFinal\Excel\"/>
    </mc:Choice>
  </mc:AlternateContent>
  <bookViews>
    <workbookView xWindow="0" yWindow="0" windowWidth="23016" windowHeight="9036"/>
  </bookViews>
  <sheets>
    <sheet name="Articulos" sheetId="3" r:id="rId1"/>
    <sheet name="Almacenaje" sheetId="6" r:id="rId2"/>
    <sheet name="Hoja1" sheetId="4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" i="6" l="1"/>
  <c r="R1" i="6"/>
  <c r="P1" i="6"/>
  <c r="X3" i="6" l="1"/>
  <c r="X2" i="6"/>
  <c r="Y3" i="6" s="1"/>
  <c r="Y4" i="6" l="1"/>
  <c r="X4" i="6"/>
</calcChain>
</file>

<file path=xl/sharedStrings.xml><?xml version="1.0" encoding="utf-8"?>
<sst xmlns="http://schemas.openxmlformats.org/spreadsheetml/2006/main" count="303" uniqueCount="63">
  <si>
    <t>MF-57</t>
  </si>
  <si>
    <t>Mause</t>
  </si>
  <si>
    <t>KL-89</t>
  </si>
  <si>
    <t>Radio</t>
  </si>
  <si>
    <t>Mj-85</t>
  </si>
  <si>
    <t>Tv</t>
  </si>
  <si>
    <t>KD-52</t>
  </si>
  <si>
    <t>televisor</t>
  </si>
  <si>
    <t>KD-46</t>
  </si>
  <si>
    <t>BX-4</t>
  </si>
  <si>
    <t>EX407</t>
  </si>
  <si>
    <t>Tr-89</t>
  </si>
  <si>
    <t>C350</t>
  </si>
  <si>
    <t>BX-3</t>
  </si>
  <si>
    <t>LCO-632</t>
  </si>
  <si>
    <t>nevera</t>
  </si>
  <si>
    <t>LMA-6512</t>
  </si>
  <si>
    <t>rentadora</t>
  </si>
  <si>
    <t>CCN-207</t>
  </si>
  <si>
    <t>CCN-420</t>
  </si>
  <si>
    <t>CCN-215</t>
  </si>
  <si>
    <t>MAO21-IX</t>
  </si>
  <si>
    <t>LMA-11832</t>
  </si>
  <si>
    <t>ERD-521</t>
  </si>
  <si>
    <t>congelador</t>
  </si>
  <si>
    <t>RML-12</t>
  </si>
  <si>
    <t>TX-2</t>
  </si>
  <si>
    <t>estufa</t>
  </si>
  <si>
    <t>CCN-303</t>
  </si>
  <si>
    <t>TX-1</t>
  </si>
  <si>
    <t>CRF-4516</t>
  </si>
  <si>
    <t>IVD-516</t>
  </si>
  <si>
    <t>TX-5</t>
  </si>
  <si>
    <t>IVDC-12</t>
  </si>
  <si>
    <t>A</t>
  </si>
  <si>
    <t>B</t>
  </si>
  <si>
    <t>C</t>
  </si>
  <si>
    <t>item</t>
  </si>
  <si>
    <t>articulo</t>
  </si>
  <si>
    <t>Consumo Anual</t>
  </si>
  <si>
    <t>Precio Unitario</t>
  </si>
  <si>
    <t>IMAGEN</t>
  </si>
  <si>
    <t>Costo Annual</t>
  </si>
  <si>
    <t>%Participacion</t>
  </si>
  <si>
    <t>Clasificacion ABC</t>
  </si>
  <si>
    <t>%Posiciones</t>
  </si>
  <si>
    <t>KL-55</t>
  </si>
  <si>
    <t>TV</t>
  </si>
  <si>
    <t xml:space="preserve">Tipo </t>
  </si>
  <si>
    <t>Item</t>
  </si>
  <si>
    <t>Articulo</t>
  </si>
  <si>
    <t>Etiqueta</t>
  </si>
  <si>
    <t>ConPLC</t>
  </si>
  <si>
    <t>X</t>
  </si>
  <si>
    <t>Y</t>
  </si>
  <si>
    <t>TXT</t>
  </si>
  <si>
    <t>fin agregar</t>
  </si>
  <si>
    <t>fin retirar</t>
  </si>
  <si>
    <t>y</t>
  </si>
  <si>
    <t>T im  Y</t>
  </si>
  <si>
    <t>Tim  X</t>
  </si>
  <si>
    <t>IN/OUT</t>
  </si>
  <si>
    <t xml:space="preserve">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</si>
</sst>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\ _€_-;\-* #,##0.00\ _€_-;_-* &quot;-&quot;??\ _€_-;_-@_-"/>
    <numFmt numFmtId="165" formatCode="_-* #,##0.000000\ _€_-;\-* #,##0.000000\ _€_-;_-* &quot;-&quot;??\ _€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4" borderId="0" applyNumberFormat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ont="1" applyFill="1"/>
    <xf numFmtId="0" fontId="0" fillId="0" borderId="0" xfId="0" applyFont="1" applyFill="1" applyBorder="1"/>
    <xf numFmtId="0" fontId="2" fillId="0" borderId="1" xfId="0" applyFont="1" applyBorder="1" applyAlignment="1">
      <alignment horizontal="center"/>
    </xf>
    <xf numFmtId="165" fontId="2" fillId="0" borderId="1" xfId="1" applyNumberFormat="1" applyFont="1" applyBorder="1" applyAlignment="1">
      <alignment horizontal="center"/>
    </xf>
    <xf numFmtId="0" fontId="2" fillId="0" borderId="1" xfId="0" applyFont="1" applyFill="1" applyBorder="1"/>
    <xf numFmtId="0" fontId="2" fillId="0" borderId="1" xfId="0" applyFont="1" applyFill="1" applyBorder="1" applyAlignment="1">
      <alignment horizontal="center"/>
    </xf>
    <xf numFmtId="0" fontId="0" fillId="0" borderId="0" xfId="0" applyFill="1" applyBorder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4" fillId="0" borderId="0" xfId="0" applyFont="1" applyFill="1" applyBorder="1"/>
    <xf numFmtId="0" fontId="3" fillId="0" borderId="0" xfId="0" applyFont="1" applyFill="1" applyBorder="1"/>
    <xf numFmtId="0" fontId="3" fillId="0" borderId="0" xfId="0" applyFont="1"/>
    <xf numFmtId="0" fontId="7" fillId="0" borderId="0" xfId="0" applyFont="1" applyFill="1" applyBorder="1" applyAlignment="1">
      <alignment horizontal="center"/>
    </xf>
    <xf numFmtId="0" fontId="0" fillId="0" borderId="0" xfId="0" applyFont="1"/>
    <xf numFmtId="0" fontId="7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4" fillId="0" borderId="0" xfId="0" applyFont="1" applyFill="1"/>
    <xf numFmtId="0" fontId="4" fillId="2" borderId="1" xfId="2" applyFont="1" applyFill="1" applyBorder="1"/>
    <xf numFmtId="0" fontId="4" fillId="0" borderId="1" xfId="0" applyFont="1" applyFill="1" applyBorder="1"/>
    <xf numFmtId="0" fontId="4" fillId="5" borderId="1" xfId="0" applyFont="1" applyFill="1" applyBorder="1"/>
    <xf numFmtId="0" fontId="4" fillId="3" borderId="1" xfId="0" applyFont="1" applyFill="1" applyBorder="1"/>
    <xf numFmtId="0" fontId="4" fillId="0" borderId="0" xfId="0" applyFont="1" applyFill="1" applyAlignment="1">
      <alignment horizontal="center"/>
    </xf>
    <xf numFmtId="0" fontId="0" fillId="6" borderId="0" xfId="0" applyFill="1"/>
  </cellXfs>
  <cellStyles count="3">
    <cellStyle name="Bueno" xfId="2" builtinId="26"/>
    <cellStyle name="Millares 2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502023</xdr:colOff>
      <xdr:row>2</xdr:row>
      <xdr:rowOff>44824</xdr:rowOff>
    </xdr:from>
    <xdr:to>
      <xdr:col>14</xdr:col>
      <xdr:colOff>546847</xdr:colOff>
      <xdr:row>24</xdr:row>
      <xdr:rowOff>143434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9377082" y="403412"/>
          <a:ext cx="3200400" cy="4043081"/>
          <a:chOff x="8274423" y="788895"/>
          <a:chExt cx="3200401" cy="4043081"/>
        </a:xfrm>
      </xdr:grpSpPr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8633011" y="788895"/>
            <a:ext cx="2474260" cy="2814918"/>
            <a:chOff x="8633011" y="788894"/>
            <a:chExt cx="2447365" cy="2832847"/>
          </a:xfrm>
        </xdr:grpSpPr>
        <xdr:sp macro="" textlink="">
          <xdr:nvSpPr>
            <xdr:cNvPr id="2" name="Rectángulo: esquinas redondeadas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>
            <a:xfrm>
              <a:off x="8633011" y="788894"/>
              <a:ext cx="2447365" cy="2832847"/>
            </a:xfrm>
            <a:prstGeom prst="roundRect">
              <a:avLst/>
            </a:prstGeom>
            <a:ln w="57150">
              <a:solidFill>
                <a:srgbClr val="0070C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" textlink="">
          <xdr:nvSpPr>
            <xdr:cNvPr id="3" name="Rectángulo: esquinas redondeadas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9135035" y="887506"/>
              <a:ext cx="1452283" cy="32273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s-ES" sz="1200" b="1">
                  <a:latin typeface="Arial" panose="020B0604020202020204" pitchFamily="34" charset="0"/>
                  <a:cs typeface="Arial" panose="020B0604020202020204" pitchFamily="34" charset="0"/>
                </a:rPr>
                <a:t>MENÚ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otó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9976821" y="1270299"/>
                <a:ext cx="849854" cy="5683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s-ES" sz="14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Calcular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Botó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000-000004080000}"/>
                  </a:ext>
                </a:extLst>
              </xdr:cNvPr>
              <xdr:cNvSpPr/>
            </xdr:nvSpPr>
            <xdr:spPr bwMode="auto">
              <a:xfrm>
                <a:off x="8860267" y="1960581"/>
                <a:ext cx="933674" cy="564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s-ES" sz="14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Importar txt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Botón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000-000006080000}"/>
                  </a:ext>
                </a:extLst>
              </xdr:cNvPr>
              <xdr:cNvSpPr/>
            </xdr:nvSpPr>
            <xdr:spPr bwMode="auto">
              <a:xfrm>
                <a:off x="9976821" y="1972235"/>
                <a:ext cx="842234" cy="56836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s-ES" sz="14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Borrar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8" name="Botón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000-00000A080000}"/>
                  </a:ext>
                </a:extLst>
              </xdr:cNvPr>
              <xdr:cNvSpPr/>
            </xdr:nvSpPr>
            <xdr:spPr bwMode="auto">
              <a:xfrm>
                <a:off x="8845027" y="1262679"/>
                <a:ext cx="926054" cy="5836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s-ES" sz="14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Registrar</a:t>
                </a:r>
              </a:p>
            </xdr:txBody>
          </xdr:sp>
        </mc:Choice>
        <mc:Fallback/>
      </mc:AlternateContent>
      <xdr:sp macro="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8274423" y="3810002"/>
            <a:ext cx="3200401" cy="1021974"/>
          </a:xfrm>
          <a:prstGeom prst="roundRect">
            <a:avLst/>
          </a:prstGeom>
          <a:ln w="57150">
            <a:solidFill>
              <a:srgbClr val="0070C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r>
              <a:rPr lang="es-ES" sz="1300" b="1" baseline="0">
                <a:latin typeface="Arial" panose="020B0604020202020204" pitchFamily="34" charset="0"/>
                <a:cs typeface="Arial" panose="020B0604020202020204" pitchFamily="34" charset="0"/>
              </a:rPr>
              <a:t>Materia :   </a:t>
            </a:r>
            <a:r>
              <a:rPr lang="es-ES" sz="13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Logística de transporte y</a:t>
            </a:r>
          </a:p>
          <a:p>
            <a:r>
              <a:rPr lang="es-ES" sz="13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</a:t>
            </a:r>
            <a:r>
              <a:rPr lang="es-ES" sz="13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        </a:t>
            </a:r>
            <a:r>
              <a:rPr lang="es-ES" sz="13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almacenamiento</a:t>
            </a:r>
          </a:p>
          <a:p>
            <a:r>
              <a:rPr lang="es-ES" sz="13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Desarrolador</a:t>
            </a:r>
            <a:r>
              <a:rPr lang="es-ES" sz="13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: Marco Bravo</a:t>
            </a:r>
            <a:endParaRPr lang="es-ES" sz="13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s-ES" sz="13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	           </a:t>
            </a:r>
            <a:endParaRPr lang="es-ES" sz="13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5</xdr:row>
      <xdr:rowOff>7620</xdr:rowOff>
    </xdr:from>
    <xdr:to>
      <xdr:col>20</xdr:col>
      <xdr:colOff>7620</xdr:colOff>
      <xdr:row>5</xdr:row>
      <xdr:rowOff>7620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0995660" y="960120"/>
          <a:ext cx="2804160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784860</xdr:colOff>
      <xdr:row>5</xdr:row>
      <xdr:rowOff>377414</xdr:rowOff>
    </xdr:from>
    <xdr:to>
      <xdr:col>19</xdr:col>
      <xdr:colOff>460786</xdr:colOff>
      <xdr:row>5</xdr:row>
      <xdr:rowOff>377414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10977731" y="1318708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793822</xdr:colOff>
      <xdr:row>7</xdr:row>
      <xdr:rowOff>899</xdr:rowOff>
    </xdr:from>
    <xdr:to>
      <xdr:col>20</xdr:col>
      <xdr:colOff>3584</xdr:colOff>
      <xdr:row>7</xdr:row>
      <xdr:rowOff>899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0986693" y="1713158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793823</xdr:colOff>
      <xdr:row>8</xdr:row>
      <xdr:rowOff>899</xdr:rowOff>
    </xdr:from>
    <xdr:to>
      <xdr:col>20</xdr:col>
      <xdr:colOff>3585</xdr:colOff>
      <xdr:row>8</xdr:row>
      <xdr:rowOff>899</xdr:rowOff>
    </xdr:to>
    <xdr:cxnSp macro="">
      <xdr:nvCxnSpPr>
        <xdr:cNvPr id="20" name="Conector rec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0986694" y="2098640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793823</xdr:colOff>
      <xdr:row>9</xdr:row>
      <xdr:rowOff>9863</xdr:rowOff>
    </xdr:from>
    <xdr:to>
      <xdr:col>20</xdr:col>
      <xdr:colOff>3585</xdr:colOff>
      <xdr:row>9</xdr:row>
      <xdr:rowOff>9863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10986694" y="2493087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</xdr:colOff>
      <xdr:row>10</xdr:row>
      <xdr:rowOff>8963</xdr:rowOff>
    </xdr:from>
    <xdr:to>
      <xdr:col>20</xdr:col>
      <xdr:colOff>7621</xdr:colOff>
      <xdr:row>10</xdr:row>
      <xdr:rowOff>8963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10990730" y="2877669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797857</xdr:colOff>
      <xdr:row>11</xdr:row>
      <xdr:rowOff>0</xdr:rowOff>
    </xdr:from>
    <xdr:to>
      <xdr:col>20</xdr:col>
      <xdr:colOff>7619</xdr:colOff>
      <xdr:row>11</xdr:row>
      <xdr:rowOff>0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0990728" y="3254188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8966</xdr:colOff>
      <xdr:row>5</xdr:row>
      <xdr:rowOff>8965</xdr:rowOff>
    </xdr:from>
    <xdr:to>
      <xdr:col>14</xdr:col>
      <xdr:colOff>8966</xdr:colOff>
      <xdr:row>11</xdr:row>
      <xdr:rowOff>0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 flipV="1">
          <a:off x="10999695" y="950259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457202</xdr:colOff>
      <xdr:row>5</xdr:row>
      <xdr:rowOff>8964</xdr:rowOff>
    </xdr:from>
    <xdr:to>
      <xdr:col>14</xdr:col>
      <xdr:colOff>457202</xdr:colOff>
      <xdr:row>10</xdr:row>
      <xdr:rowOff>385481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V="1">
          <a:off x="11447931" y="950258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457202</xdr:colOff>
      <xdr:row>5</xdr:row>
      <xdr:rowOff>8964</xdr:rowOff>
    </xdr:from>
    <xdr:to>
      <xdr:col>14</xdr:col>
      <xdr:colOff>457202</xdr:colOff>
      <xdr:row>10</xdr:row>
      <xdr:rowOff>385481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 flipV="1">
          <a:off x="11447931" y="950258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</xdr:colOff>
      <xdr:row>5</xdr:row>
      <xdr:rowOff>26894</xdr:rowOff>
    </xdr:from>
    <xdr:to>
      <xdr:col>16</xdr:col>
      <xdr:colOff>1</xdr:colOff>
      <xdr:row>11</xdr:row>
      <xdr:rowOff>17929</xdr:rowOff>
    </xdr:to>
    <xdr:cxnSp macro="">
      <xdr:nvCxnSpPr>
        <xdr:cNvPr id="28" name="Conector rec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 flipV="1">
          <a:off x="11923060" y="968188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</xdr:colOff>
      <xdr:row>5</xdr:row>
      <xdr:rowOff>8966</xdr:rowOff>
    </xdr:from>
    <xdr:to>
      <xdr:col>17</xdr:col>
      <xdr:colOff>1</xdr:colOff>
      <xdr:row>11</xdr:row>
      <xdr:rowOff>1</xdr:rowOff>
    </xdr:to>
    <xdr:cxnSp macro="">
      <xdr:nvCxnSpPr>
        <xdr:cNvPr id="29" name="Conector rec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2389225" y="950260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</xdr:row>
      <xdr:rowOff>17929</xdr:rowOff>
    </xdr:from>
    <xdr:to>
      <xdr:col>18</xdr:col>
      <xdr:colOff>0</xdr:colOff>
      <xdr:row>11</xdr:row>
      <xdr:rowOff>1344</xdr:rowOff>
    </xdr:to>
    <xdr:cxnSp macro="">
      <xdr:nvCxnSpPr>
        <xdr:cNvPr id="30" name="Conector rec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V="1">
          <a:off x="12855388" y="959223"/>
          <a:ext cx="0" cy="229630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457200</xdr:colOff>
      <xdr:row>5</xdr:row>
      <xdr:rowOff>26894</xdr:rowOff>
    </xdr:from>
    <xdr:to>
      <xdr:col>18</xdr:col>
      <xdr:colOff>457200</xdr:colOff>
      <xdr:row>11</xdr:row>
      <xdr:rowOff>17929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flipV="1">
          <a:off x="13312588" y="968188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</xdr:colOff>
      <xdr:row>5</xdr:row>
      <xdr:rowOff>26894</xdr:rowOff>
    </xdr:from>
    <xdr:to>
      <xdr:col>20</xdr:col>
      <xdr:colOff>1</xdr:colOff>
      <xdr:row>11</xdr:row>
      <xdr:rowOff>17929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 flipV="1">
          <a:off x="13796683" y="968188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5</xdr:row>
      <xdr:rowOff>8964</xdr:rowOff>
    </xdr:from>
    <xdr:to>
      <xdr:col>20</xdr:col>
      <xdr:colOff>7620</xdr:colOff>
      <xdr:row>5</xdr:row>
      <xdr:rowOff>8964</xdr:rowOff>
    </xdr:to>
    <xdr:cxnSp macro="">
      <xdr:nvCxnSpPr>
        <xdr:cNvPr id="33" name="Conector rect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10990729" y="950258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784860</xdr:colOff>
      <xdr:row>5</xdr:row>
      <xdr:rowOff>378758</xdr:rowOff>
    </xdr:from>
    <xdr:to>
      <xdr:col>19</xdr:col>
      <xdr:colOff>460786</xdr:colOff>
      <xdr:row>5</xdr:row>
      <xdr:rowOff>378758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10977731" y="1320052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793822</xdr:colOff>
      <xdr:row>7</xdr:row>
      <xdr:rowOff>2243</xdr:rowOff>
    </xdr:from>
    <xdr:to>
      <xdr:col>20</xdr:col>
      <xdr:colOff>3584</xdr:colOff>
      <xdr:row>7</xdr:row>
      <xdr:rowOff>2243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10986693" y="1714502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793823</xdr:colOff>
      <xdr:row>8</xdr:row>
      <xdr:rowOff>2243</xdr:rowOff>
    </xdr:from>
    <xdr:to>
      <xdr:col>20</xdr:col>
      <xdr:colOff>3585</xdr:colOff>
      <xdr:row>8</xdr:row>
      <xdr:rowOff>2243</xdr:rowOff>
    </xdr:to>
    <xdr:cxnSp macro="">
      <xdr:nvCxnSpPr>
        <xdr:cNvPr id="36" name="Conector rect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10986694" y="2099984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793823</xdr:colOff>
      <xdr:row>9</xdr:row>
      <xdr:rowOff>11207</xdr:rowOff>
    </xdr:from>
    <xdr:to>
      <xdr:col>20</xdr:col>
      <xdr:colOff>3585</xdr:colOff>
      <xdr:row>9</xdr:row>
      <xdr:rowOff>11207</xdr:rowOff>
    </xdr:to>
    <xdr:cxnSp macro="">
      <xdr:nvCxnSpPr>
        <xdr:cNvPr id="37" name="Conector rect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10986694" y="2494431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</xdr:colOff>
      <xdr:row>10</xdr:row>
      <xdr:rowOff>10307</xdr:rowOff>
    </xdr:from>
    <xdr:to>
      <xdr:col>20</xdr:col>
      <xdr:colOff>7621</xdr:colOff>
      <xdr:row>10</xdr:row>
      <xdr:rowOff>10307</xdr:rowOff>
    </xdr:to>
    <xdr:cxnSp macro="">
      <xdr:nvCxnSpPr>
        <xdr:cNvPr id="38" name="Conector rec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10990730" y="2879013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797857</xdr:colOff>
      <xdr:row>11</xdr:row>
      <xdr:rowOff>1344</xdr:rowOff>
    </xdr:from>
    <xdr:to>
      <xdr:col>20</xdr:col>
      <xdr:colOff>7619</xdr:colOff>
      <xdr:row>11</xdr:row>
      <xdr:rowOff>1344</xdr:rowOff>
    </xdr:to>
    <xdr:cxnSp macro="">
      <xdr:nvCxnSpPr>
        <xdr:cNvPr id="39" name="Conector recto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10990728" y="3255532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8966</xdr:colOff>
      <xdr:row>5</xdr:row>
      <xdr:rowOff>10309</xdr:rowOff>
    </xdr:from>
    <xdr:to>
      <xdr:col>14</xdr:col>
      <xdr:colOff>8966</xdr:colOff>
      <xdr:row>11</xdr:row>
      <xdr:rowOff>1344</xdr:rowOff>
    </xdr:to>
    <xdr:cxnSp macro="">
      <xdr:nvCxnSpPr>
        <xdr:cNvPr id="40" name="Conector rect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 flipV="1">
          <a:off x="10999695" y="951603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457202</xdr:colOff>
      <xdr:row>5</xdr:row>
      <xdr:rowOff>10308</xdr:rowOff>
    </xdr:from>
    <xdr:to>
      <xdr:col>14</xdr:col>
      <xdr:colOff>457202</xdr:colOff>
      <xdr:row>10</xdr:row>
      <xdr:rowOff>379205</xdr:rowOff>
    </xdr:to>
    <xdr:cxnSp macro="">
      <xdr:nvCxnSpPr>
        <xdr:cNvPr id="41" name="Conector rect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V="1">
          <a:off x="11447931" y="951602"/>
          <a:ext cx="0" cy="229630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</xdr:colOff>
      <xdr:row>5</xdr:row>
      <xdr:rowOff>28238</xdr:rowOff>
    </xdr:from>
    <xdr:to>
      <xdr:col>16</xdr:col>
      <xdr:colOff>1</xdr:colOff>
      <xdr:row>11</xdr:row>
      <xdr:rowOff>19273</xdr:rowOff>
    </xdr:to>
    <xdr:cxnSp macro="">
      <xdr:nvCxnSpPr>
        <xdr:cNvPr id="42" name="Conector rec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 flipV="1">
          <a:off x="11923060" y="969532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</xdr:colOff>
      <xdr:row>5</xdr:row>
      <xdr:rowOff>10310</xdr:rowOff>
    </xdr:from>
    <xdr:to>
      <xdr:col>17</xdr:col>
      <xdr:colOff>1</xdr:colOff>
      <xdr:row>11</xdr:row>
      <xdr:rowOff>1345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 flipV="1">
          <a:off x="12389225" y="951604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</xdr:row>
      <xdr:rowOff>19273</xdr:rowOff>
    </xdr:from>
    <xdr:to>
      <xdr:col>18</xdr:col>
      <xdr:colOff>0</xdr:colOff>
      <xdr:row>11</xdr:row>
      <xdr:rowOff>2688</xdr:rowOff>
    </xdr:to>
    <xdr:cxnSp macro="">
      <xdr:nvCxnSpPr>
        <xdr:cNvPr id="44" name="Conector rect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 flipV="1">
          <a:off x="12855388" y="960567"/>
          <a:ext cx="0" cy="229630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457200</xdr:colOff>
      <xdr:row>5</xdr:row>
      <xdr:rowOff>28238</xdr:rowOff>
    </xdr:from>
    <xdr:to>
      <xdr:col>18</xdr:col>
      <xdr:colOff>457200</xdr:colOff>
      <xdr:row>11</xdr:row>
      <xdr:rowOff>19273</xdr:rowOff>
    </xdr:to>
    <xdr:cxnSp macro="">
      <xdr:nvCxnSpPr>
        <xdr:cNvPr id="45" name="Conector recto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>
        <a:xfrm flipV="1">
          <a:off x="13312588" y="969532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</xdr:colOff>
      <xdr:row>5</xdr:row>
      <xdr:rowOff>28238</xdr:rowOff>
    </xdr:from>
    <xdr:to>
      <xdr:col>20</xdr:col>
      <xdr:colOff>1</xdr:colOff>
      <xdr:row>11</xdr:row>
      <xdr:rowOff>19273</xdr:rowOff>
    </xdr:to>
    <xdr:cxnSp macro="">
      <xdr:nvCxnSpPr>
        <xdr:cNvPr id="46" name="Conector rect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 flipV="1">
          <a:off x="13796683" y="969532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12999</xdr:colOff>
      <xdr:row>5</xdr:row>
      <xdr:rowOff>8965</xdr:rowOff>
    </xdr:from>
    <xdr:to>
      <xdr:col>26</xdr:col>
      <xdr:colOff>475129</xdr:colOff>
      <xdr:row>5</xdr:row>
      <xdr:rowOff>17930</xdr:rowOff>
    </xdr:to>
    <xdr:cxnSp macro="">
      <xdr:nvCxnSpPr>
        <xdr:cNvPr id="47" name="Conector rect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>
          <a:off x="14275846" y="950259"/>
          <a:ext cx="2846742" cy="896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</xdr:colOff>
      <xdr:row>5</xdr:row>
      <xdr:rowOff>378759</xdr:rowOff>
    </xdr:from>
    <xdr:to>
      <xdr:col>26</xdr:col>
      <xdr:colOff>428962</xdr:colOff>
      <xdr:row>5</xdr:row>
      <xdr:rowOff>378759</xdr:rowOff>
    </xdr:to>
    <xdr:cxnSp macro="">
      <xdr:nvCxnSpPr>
        <xdr:cNvPr id="48" name="Conector rect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>
          <a:off x="14262848" y="1320053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8963</xdr:colOff>
      <xdr:row>7</xdr:row>
      <xdr:rowOff>2244</xdr:rowOff>
    </xdr:from>
    <xdr:to>
      <xdr:col>26</xdr:col>
      <xdr:colOff>437924</xdr:colOff>
      <xdr:row>7</xdr:row>
      <xdr:rowOff>2244</xdr:rowOff>
    </xdr:to>
    <xdr:cxnSp macro="">
      <xdr:nvCxnSpPr>
        <xdr:cNvPr id="49" name="Conector rect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>
          <a:off x="14271810" y="1714503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8964</xdr:colOff>
      <xdr:row>8</xdr:row>
      <xdr:rowOff>2244</xdr:rowOff>
    </xdr:from>
    <xdr:to>
      <xdr:col>26</xdr:col>
      <xdr:colOff>437925</xdr:colOff>
      <xdr:row>8</xdr:row>
      <xdr:rowOff>2244</xdr:rowOff>
    </xdr:to>
    <xdr:cxnSp macro="">
      <xdr:nvCxnSpPr>
        <xdr:cNvPr id="50" name="Conector rect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14271811" y="2099985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8964</xdr:colOff>
      <xdr:row>9</xdr:row>
      <xdr:rowOff>11208</xdr:rowOff>
    </xdr:from>
    <xdr:to>
      <xdr:col>26</xdr:col>
      <xdr:colOff>437925</xdr:colOff>
      <xdr:row>9</xdr:row>
      <xdr:rowOff>11208</xdr:rowOff>
    </xdr:to>
    <xdr:cxnSp macro="">
      <xdr:nvCxnSpPr>
        <xdr:cNvPr id="51" name="Conector recto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>
          <a:off x="14271811" y="2494432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13000</xdr:colOff>
      <xdr:row>10</xdr:row>
      <xdr:rowOff>10308</xdr:rowOff>
    </xdr:from>
    <xdr:to>
      <xdr:col>26</xdr:col>
      <xdr:colOff>441961</xdr:colOff>
      <xdr:row>10</xdr:row>
      <xdr:rowOff>10308</xdr:rowOff>
    </xdr:to>
    <xdr:cxnSp macro="">
      <xdr:nvCxnSpPr>
        <xdr:cNvPr id="52" name="Conector rect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>
          <a:off x="14275847" y="2879014"/>
          <a:ext cx="2813573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12998</xdr:colOff>
      <xdr:row>11</xdr:row>
      <xdr:rowOff>1345</xdr:rowOff>
    </xdr:from>
    <xdr:to>
      <xdr:col>27</xdr:col>
      <xdr:colOff>8965</xdr:colOff>
      <xdr:row>11</xdr:row>
      <xdr:rowOff>8965</xdr:rowOff>
    </xdr:to>
    <xdr:cxnSp macro="">
      <xdr:nvCxnSpPr>
        <xdr:cNvPr id="53" name="Conector recto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>
          <a:off x="14275845" y="3255533"/>
          <a:ext cx="2864673" cy="762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21965</xdr:colOff>
      <xdr:row>5</xdr:row>
      <xdr:rowOff>10310</xdr:rowOff>
    </xdr:from>
    <xdr:to>
      <xdr:col>21</xdr:col>
      <xdr:colOff>21965</xdr:colOff>
      <xdr:row>11</xdr:row>
      <xdr:rowOff>1345</xdr:rowOff>
    </xdr:to>
    <xdr:cxnSp macro="">
      <xdr:nvCxnSpPr>
        <xdr:cNvPr id="54" name="Conector recto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/>
      </xdr:nvCxnSpPr>
      <xdr:spPr>
        <a:xfrm flipV="1">
          <a:off x="14284812" y="951604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4036</xdr:colOff>
      <xdr:row>5</xdr:row>
      <xdr:rowOff>10309</xdr:rowOff>
    </xdr:from>
    <xdr:to>
      <xdr:col>22</xdr:col>
      <xdr:colOff>4036</xdr:colOff>
      <xdr:row>10</xdr:row>
      <xdr:rowOff>379206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4733048" y="951603"/>
          <a:ext cx="0" cy="229630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13001</xdr:colOff>
      <xdr:row>5</xdr:row>
      <xdr:rowOff>1</xdr:rowOff>
    </xdr:from>
    <xdr:to>
      <xdr:col>23</xdr:col>
      <xdr:colOff>13855</xdr:colOff>
      <xdr:row>11</xdr:row>
      <xdr:rowOff>0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 flipH="1" flipV="1">
          <a:off x="15253001" y="969819"/>
          <a:ext cx="854" cy="232756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13001</xdr:colOff>
      <xdr:row>5</xdr:row>
      <xdr:rowOff>10311</xdr:rowOff>
    </xdr:from>
    <xdr:to>
      <xdr:col>24</xdr:col>
      <xdr:colOff>13001</xdr:colOff>
      <xdr:row>11</xdr:row>
      <xdr:rowOff>1346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 flipV="1">
          <a:off x="15674342" y="951605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12999</xdr:colOff>
      <xdr:row>5</xdr:row>
      <xdr:rowOff>19274</xdr:rowOff>
    </xdr:from>
    <xdr:to>
      <xdr:col>25</xdr:col>
      <xdr:colOff>12999</xdr:colOff>
      <xdr:row>11</xdr:row>
      <xdr:rowOff>2689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 flipV="1">
          <a:off x="16140505" y="960568"/>
          <a:ext cx="0" cy="229630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4036</xdr:colOff>
      <xdr:row>5</xdr:row>
      <xdr:rowOff>28239</xdr:rowOff>
    </xdr:from>
    <xdr:to>
      <xdr:col>26</xdr:col>
      <xdr:colOff>4036</xdr:colOff>
      <xdr:row>11</xdr:row>
      <xdr:rowOff>19274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/>
      </xdr:nvCxnSpPr>
      <xdr:spPr>
        <a:xfrm flipV="1">
          <a:off x="16651495" y="969533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470201</xdr:colOff>
      <xdr:row>5</xdr:row>
      <xdr:rowOff>28239</xdr:rowOff>
    </xdr:from>
    <xdr:to>
      <xdr:col>26</xdr:col>
      <xdr:colOff>470201</xdr:colOff>
      <xdr:row>11</xdr:row>
      <xdr:rowOff>19274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 flipV="1">
          <a:off x="17117660" y="969533"/>
          <a:ext cx="0" cy="23039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743195</xdr:colOff>
      <xdr:row>13</xdr:row>
      <xdr:rowOff>92033</xdr:rowOff>
    </xdr:from>
    <xdr:to>
      <xdr:col>20</xdr:col>
      <xdr:colOff>89064</xdr:colOff>
      <xdr:row>33</xdr:row>
      <xdr:rowOff>179117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940140" y="3777342"/>
          <a:ext cx="2975760" cy="3966357"/>
          <a:chOff x="14388934" y="4207824"/>
          <a:chExt cx="2956957" cy="3966357"/>
        </a:xfrm>
      </xdr:grpSpPr>
      <xdr:grpSp>
        <xdr:nvGrpSpPr>
          <xdr:cNvPr id="3" name="Grup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14388934" y="4207824"/>
            <a:ext cx="2956957" cy="3966357"/>
            <a:chOff x="14380028" y="3831771"/>
            <a:chExt cx="2884715" cy="3804798"/>
          </a:xfrm>
        </xdr:grpSpPr>
        <xdr:grpSp>
          <xdr:nvGrpSpPr>
            <xdr:cNvPr id="61" name="Grupo 60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GrpSpPr/>
          </xdr:nvGrpSpPr>
          <xdr:grpSpPr>
            <a:xfrm>
              <a:off x="14380028" y="3831771"/>
              <a:ext cx="2884715" cy="3804798"/>
              <a:chOff x="8633011" y="788894"/>
              <a:chExt cx="2447365" cy="3103896"/>
            </a:xfrm>
          </xdr:grpSpPr>
          <xdr:sp macro="" textlink="">
            <xdr:nvSpPr>
              <xdr:cNvPr id="62" name="Rectángulo: esquinas redondeadas 61">
                <a:extLst>
                  <a:ext uri="{FF2B5EF4-FFF2-40B4-BE49-F238E27FC236}">
                    <a16:creationId xmlns:a16="http://schemas.microsoft.com/office/drawing/2014/main" id="{00000000-0008-0000-0100-00003E000000}"/>
                  </a:ext>
                </a:extLst>
              </xdr:cNvPr>
              <xdr:cNvSpPr/>
            </xdr:nvSpPr>
            <xdr:spPr>
              <a:xfrm>
                <a:off x="8633011" y="788894"/>
                <a:ext cx="2447365" cy="3103896"/>
              </a:xfrm>
              <a:prstGeom prst="roundRect">
                <a:avLst/>
              </a:prstGeom>
              <a:ln w="57150">
                <a:solidFill>
                  <a:srgbClr val="0070C0"/>
                </a:solidFill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ES" sz="1100"/>
              </a:p>
            </xdr:txBody>
          </xdr:sp>
          <xdr:sp macro="" textlink="">
            <xdr:nvSpPr>
              <xdr:cNvPr id="63" name="Rectángulo: esquinas redondeadas 62">
                <a:extLst>
                  <a:ext uri="{FF2B5EF4-FFF2-40B4-BE49-F238E27FC236}">
                    <a16:creationId xmlns:a16="http://schemas.microsoft.com/office/drawing/2014/main" id="{00000000-0008-0000-0100-00003F000000}"/>
                  </a:ext>
                </a:extLst>
              </xdr:cNvPr>
              <xdr:cNvSpPr/>
            </xdr:nvSpPr>
            <xdr:spPr>
              <a:xfrm>
                <a:off x="9135035" y="887506"/>
                <a:ext cx="1452283" cy="322730"/>
              </a:xfrm>
              <a:prstGeom prst="roundRect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s-ES" sz="1200" b="1">
                    <a:latin typeface="Arial" panose="020B0604020202020204" pitchFamily="34" charset="0"/>
                    <a:cs typeface="Arial" panose="020B0604020202020204" pitchFamily="34" charset="0"/>
                  </a:rPr>
                  <a:t>MENÚ</a:t>
                </a: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3" name="Botón 7" hidden="1">
                  <a:extLst>
                    <a:ext uri="{63B3BB69-23CF-44E3-9099-C40C66FF867C}">
                      <a14:compatExt spid="_x0000_s4103"/>
                    </a:ext>
                    <a:ext uri="{FF2B5EF4-FFF2-40B4-BE49-F238E27FC236}">
                      <a16:creationId xmlns:a16="http://schemas.microsoft.com/office/drawing/2014/main" id="{00000000-0008-0000-0100-000007100000}"/>
                    </a:ext>
                  </a:extLst>
                </xdr:cNvPr>
                <xdr:cNvSpPr/>
              </xdr:nvSpPr>
              <xdr:spPr bwMode="auto">
                <a:xfrm>
                  <a:off x="15837626" y="4359728"/>
                  <a:ext cx="1287780" cy="51924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32004" rIns="45720" bIns="32004" anchor="ctr" upright="1"/>
                <a:lstStyle/>
                <a:p>
                  <a:pPr algn="ctr" rtl="0">
                    <a:defRPr sz="1000"/>
                  </a:pPr>
                  <a:r>
                    <a:rPr lang="es-ES" sz="14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Agregar Producto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5" name="Botón 9" hidden="1">
                  <a:extLst>
                    <a:ext uri="{63B3BB69-23CF-44E3-9099-C40C66FF867C}">
                      <a14:compatExt spid="_x0000_s4105"/>
                    </a:ext>
                    <a:ext uri="{FF2B5EF4-FFF2-40B4-BE49-F238E27FC236}">
                      <a16:creationId xmlns:a16="http://schemas.microsoft.com/office/drawing/2014/main" id="{00000000-0008-0000-0100-000009100000}"/>
                    </a:ext>
                  </a:extLst>
                </xdr:cNvPr>
                <xdr:cNvSpPr/>
              </xdr:nvSpPr>
              <xdr:spPr bwMode="auto">
                <a:xfrm>
                  <a:off x="14509569" y="4359728"/>
                  <a:ext cx="1274717" cy="51924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32004" rIns="45720" bIns="32004" anchor="ctr" upright="1"/>
                <a:lstStyle/>
                <a:p>
                  <a:pPr algn="ctr" rtl="0">
                    <a:defRPr sz="1000"/>
                  </a:pPr>
                  <a:r>
                    <a:rPr lang="es-ES" sz="14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Actualizar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6" name="Botón 10" hidden="1">
                  <a:extLst>
                    <a:ext uri="{63B3BB69-23CF-44E3-9099-C40C66FF867C}">
                      <a14:compatExt spid="_x0000_s4106"/>
                    </a:ext>
                    <a:ext uri="{FF2B5EF4-FFF2-40B4-BE49-F238E27FC236}">
                      <a16:creationId xmlns:a16="http://schemas.microsoft.com/office/drawing/2014/main" id="{00000000-0008-0000-0100-00000A100000}"/>
                    </a:ext>
                  </a:extLst>
                </xdr:cNvPr>
                <xdr:cNvSpPr/>
              </xdr:nvSpPr>
              <xdr:spPr bwMode="auto">
                <a:xfrm>
                  <a:off x="14540049" y="5113020"/>
                  <a:ext cx="1251857" cy="5802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32004" rIns="45720" bIns="32004" anchor="ctr" upright="1"/>
                <a:lstStyle/>
                <a:p>
                  <a:pPr algn="ctr" rtl="0">
                    <a:defRPr sz="1000"/>
                  </a:pPr>
                  <a:r>
                    <a:rPr lang="es-ES" sz="14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Retirar Producto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7" name="Botón 11" hidden="1">
                  <a:extLst>
                    <a:ext uri="{63B3BB69-23CF-44E3-9099-C40C66FF867C}">
                      <a14:compatExt spid="_x0000_s4107"/>
                    </a:ext>
                    <a:ext uri="{FF2B5EF4-FFF2-40B4-BE49-F238E27FC236}">
                      <a16:creationId xmlns:a16="http://schemas.microsoft.com/office/drawing/2014/main" id="{00000000-0008-0000-0100-00000B100000}"/>
                    </a:ext>
                  </a:extLst>
                </xdr:cNvPr>
                <xdr:cNvSpPr/>
              </xdr:nvSpPr>
              <xdr:spPr bwMode="auto">
                <a:xfrm>
                  <a:off x="15875726" y="5074920"/>
                  <a:ext cx="1211580" cy="6183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32004" rIns="45720" bIns="32004" anchor="ctr" upright="1"/>
                <a:lstStyle/>
                <a:p>
                  <a:pPr algn="ctr" rtl="0">
                    <a:defRPr sz="1000"/>
                  </a:pPr>
                  <a:r>
                    <a:rPr lang="es-ES" sz="14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Vaciar Almacen </a:t>
                  </a:r>
                </a:p>
              </xdr:txBody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8" name="Botón 12" hidden="1">
                <a:extLst>
                  <a:ext uri="{63B3BB69-23CF-44E3-9099-C40C66FF867C}">
                    <a14:compatExt spid="_x0000_s4108"/>
                  </a:ext>
                  <a:ext uri="{FF2B5EF4-FFF2-40B4-BE49-F238E27FC236}">
                    <a16:creationId xmlns:a16="http://schemas.microsoft.com/office/drawing/2014/main" id="{00000000-0008-0000-0100-00000C100000}"/>
                  </a:ext>
                </a:extLst>
              </xdr:cNvPr>
              <xdr:cNvSpPr/>
            </xdr:nvSpPr>
            <xdr:spPr bwMode="auto">
              <a:xfrm>
                <a:off x="15156873" y="6289963"/>
                <a:ext cx="1413164" cy="57080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2004" rIns="45720" bIns="32004" anchor="ctr" upright="1"/>
              <a:lstStyle/>
              <a:p>
                <a:pPr algn="ctr" rtl="0">
                  <a:defRPr sz="1000"/>
                </a:pPr>
                <a:r>
                  <a:rPr lang="es-ES" sz="14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Cargar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W73"/>
  <sheetViews>
    <sheetView tabSelected="1" zoomScale="85" zoomScaleNormal="85" workbookViewId="0">
      <selection activeCell="A2" sqref="A2:D27"/>
    </sheetView>
  </sheetViews>
  <sheetFormatPr baseColWidth="10" defaultRowHeight="14.4" x14ac:dyDescent="0.3"/>
  <cols>
    <col min="3" max="3" width="14.5546875" style="1" customWidth="1"/>
    <col min="4" max="4" width="13.77734375" style="1" customWidth="1"/>
    <col min="5" max="5" width="11.5546875" style="1"/>
    <col min="6" max="6" width="13.33203125" customWidth="1"/>
    <col min="7" max="7" width="15.109375" customWidth="1"/>
    <col min="8" max="8" width="15.109375" style="1" customWidth="1"/>
  </cols>
  <sheetData>
    <row r="1" spans="1:23" x14ac:dyDescent="0.3">
      <c r="A1" s="6" t="s">
        <v>49</v>
      </c>
      <c r="B1" s="6" t="s">
        <v>50</v>
      </c>
      <c r="C1" s="6" t="s">
        <v>39</v>
      </c>
      <c r="D1" s="6" t="s">
        <v>40</v>
      </c>
      <c r="E1" s="9" t="s">
        <v>41</v>
      </c>
      <c r="F1" s="6" t="s">
        <v>42</v>
      </c>
      <c r="G1" s="7" t="s">
        <v>43</v>
      </c>
      <c r="H1" s="9" t="s">
        <v>44</v>
      </c>
      <c r="I1" s="8" t="s">
        <v>45</v>
      </c>
    </row>
    <row r="2" spans="1:23" x14ac:dyDescent="0.3">
      <c r="C2"/>
      <c r="D2"/>
      <c r="E2"/>
      <c r="H2"/>
      <c r="J2" s="2"/>
      <c r="K2" s="2"/>
    </row>
    <row r="3" spans="1:23" x14ac:dyDescent="0.3">
      <c r="C3"/>
      <c r="D3"/>
      <c r="E3"/>
      <c r="H3"/>
      <c r="J3" s="2"/>
      <c r="K3" s="2"/>
    </row>
    <row r="4" spans="1:23" x14ac:dyDescent="0.3">
      <c r="C4"/>
      <c r="D4"/>
      <c r="E4"/>
      <c r="H4"/>
      <c r="J4" s="2"/>
      <c r="K4" s="2"/>
    </row>
    <row r="5" spans="1:23" x14ac:dyDescent="0.3">
      <c r="C5"/>
      <c r="D5"/>
      <c r="E5"/>
      <c r="H5"/>
      <c r="J5" s="2"/>
      <c r="K5" s="2"/>
      <c r="S5" s="2"/>
      <c r="T5" s="2"/>
      <c r="U5" s="2"/>
      <c r="V5" s="2"/>
      <c r="W5" s="2"/>
    </row>
    <row r="6" spans="1:23" x14ac:dyDescent="0.3">
      <c r="C6"/>
      <c r="D6"/>
      <c r="E6"/>
      <c r="H6"/>
      <c r="J6" s="2"/>
      <c r="K6" s="2"/>
      <c r="S6" s="2"/>
      <c r="T6" s="2"/>
      <c r="U6" s="2"/>
      <c r="V6" s="2"/>
      <c r="W6" s="2"/>
    </row>
    <row r="7" spans="1:23" x14ac:dyDescent="0.3">
      <c r="C7"/>
      <c r="D7"/>
      <c r="E7"/>
      <c r="H7"/>
      <c r="J7" s="2"/>
      <c r="K7" s="2"/>
      <c r="S7" s="2"/>
      <c r="T7" s="2"/>
      <c r="U7" s="2"/>
      <c r="V7" s="2"/>
      <c r="W7" s="2"/>
    </row>
    <row r="8" spans="1:23" x14ac:dyDescent="0.3">
      <c r="C8"/>
      <c r="D8"/>
      <c r="E8"/>
      <c r="H8"/>
      <c r="J8" s="2"/>
      <c r="K8" s="2"/>
      <c r="S8" s="2"/>
      <c r="T8" s="2"/>
      <c r="U8" s="2"/>
      <c r="V8" s="2"/>
      <c r="W8" s="2"/>
    </row>
    <row r="9" spans="1:23" x14ac:dyDescent="0.3">
      <c r="C9"/>
      <c r="D9"/>
      <c r="E9"/>
      <c r="H9"/>
      <c r="J9" s="2"/>
      <c r="K9" s="2"/>
      <c r="S9" s="2"/>
      <c r="T9" s="2"/>
      <c r="U9" s="2"/>
      <c r="V9" s="2"/>
      <c r="W9" s="2"/>
    </row>
    <row r="10" spans="1:23" x14ac:dyDescent="0.3">
      <c r="C10"/>
      <c r="D10"/>
      <c r="E10"/>
      <c r="H10"/>
      <c r="J10" s="2"/>
      <c r="K10" s="2"/>
      <c r="S10" s="2"/>
      <c r="T10" s="2"/>
      <c r="U10" s="2"/>
      <c r="V10" s="2"/>
      <c r="W10" s="2"/>
    </row>
    <row r="11" spans="1:23" x14ac:dyDescent="0.3">
      <c r="C11"/>
      <c r="D11"/>
      <c r="E11"/>
      <c r="H11"/>
      <c r="J11" s="2"/>
      <c r="K11" s="2"/>
      <c r="S11" s="2"/>
      <c r="T11" s="2"/>
      <c r="U11" s="2"/>
      <c r="V11" s="2"/>
      <c r="W11" s="2"/>
    </row>
    <row r="12" spans="1:23" x14ac:dyDescent="0.3">
      <c r="C12"/>
      <c r="D12"/>
      <c r="E12"/>
      <c r="H12"/>
      <c r="J12" s="2"/>
      <c r="K12" s="2"/>
      <c r="S12" s="2"/>
      <c r="T12" s="2"/>
      <c r="U12" s="2"/>
      <c r="V12" s="2"/>
      <c r="W12" s="2"/>
    </row>
    <row r="13" spans="1:23" x14ac:dyDescent="0.3">
      <c r="C13"/>
      <c r="D13"/>
      <c r="E13"/>
      <c r="H13"/>
      <c r="J13" s="2"/>
      <c r="K13" s="2"/>
      <c r="S13" s="2"/>
      <c r="T13" s="2"/>
      <c r="U13" s="2"/>
      <c r="V13" s="2"/>
      <c r="W13" s="2"/>
    </row>
    <row r="14" spans="1:23" x14ac:dyDescent="0.3">
      <c r="C14"/>
      <c r="D14"/>
      <c r="E14"/>
      <c r="H14"/>
      <c r="J14" s="2"/>
      <c r="K14" s="2"/>
      <c r="S14" s="2"/>
      <c r="T14" s="2"/>
      <c r="U14" s="2"/>
      <c r="V14" s="2"/>
      <c r="W14" s="2"/>
    </row>
    <row r="15" spans="1:23" x14ac:dyDescent="0.3">
      <c r="C15"/>
      <c r="D15"/>
      <c r="E15"/>
      <c r="H15"/>
      <c r="J15" s="2"/>
      <c r="K15" s="2"/>
      <c r="S15" s="2"/>
      <c r="T15" s="2"/>
      <c r="U15" s="2"/>
      <c r="V15" s="2"/>
      <c r="W15" s="2"/>
    </row>
    <row r="16" spans="1:23" x14ac:dyDescent="0.3">
      <c r="C16"/>
      <c r="D16"/>
      <c r="E16"/>
      <c r="H16"/>
      <c r="J16" s="2"/>
      <c r="K16" s="2"/>
      <c r="S16" s="2"/>
      <c r="T16" s="2"/>
      <c r="U16" s="2"/>
      <c r="V16" s="2"/>
      <c r="W16" s="2"/>
    </row>
    <row r="17" spans="3:11" x14ac:dyDescent="0.3">
      <c r="C17"/>
      <c r="D17"/>
      <c r="E17"/>
      <c r="H17"/>
      <c r="J17" s="2"/>
      <c r="K17" s="2"/>
    </row>
    <row r="18" spans="3:11" x14ac:dyDescent="0.3">
      <c r="C18"/>
      <c r="D18"/>
      <c r="E18"/>
      <c r="H18"/>
      <c r="J18" s="3"/>
      <c r="K18" s="3"/>
    </row>
    <row r="19" spans="3:11" x14ac:dyDescent="0.3">
      <c r="C19"/>
      <c r="D19"/>
      <c r="E19"/>
      <c r="H19"/>
      <c r="J19" s="2"/>
      <c r="K19" s="2"/>
    </row>
    <row r="20" spans="3:11" x14ac:dyDescent="0.3">
      <c r="C20"/>
      <c r="D20"/>
      <c r="E20"/>
      <c r="H20"/>
      <c r="J20" s="2"/>
      <c r="K20" s="2"/>
    </row>
    <row r="21" spans="3:11" x14ac:dyDescent="0.3">
      <c r="C21"/>
      <c r="D21"/>
      <c r="E21"/>
      <c r="H21"/>
      <c r="J21" s="2"/>
      <c r="K21" s="2"/>
    </row>
    <row r="22" spans="3:11" x14ac:dyDescent="0.3">
      <c r="C22"/>
      <c r="D22"/>
      <c r="E22"/>
      <c r="H22"/>
      <c r="J22" s="2"/>
      <c r="K22" s="2"/>
    </row>
    <row r="23" spans="3:11" x14ac:dyDescent="0.3">
      <c r="C23"/>
      <c r="D23"/>
      <c r="E23"/>
      <c r="H23"/>
      <c r="J23" s="2"/>
      <c r="K23" s="2"/>
    </row>
    <row r="24" spans="3:11" x14ac:dyDescent="0.3">
      <c r="C24"/>
      <c r="D24"/>
      <c r="E24"/>
      <c r="H24"/>
      <c r="J24" s="2"/>
      <c r="K24" s="2"/>
    </row>
    <row r="25" spans="3:11" x14ac:dyDescent="0.3">
      <c r="C25"/>
      <c r="D25"/>
      <c r="E25"/>
      <c r="H25"/>
      <c r="J25" s="2"/>
      <c r="K25" s="2"/>
    </row>
    <row r="26" spans="3:11" x14ac:dyDescent="0.3">
      <c r="C26"/>
      <c r="D26"/>
      <c r="E26"/>
      <c r="H26"/>
      <c r="J26" s="2"/>
    </row>
    <row r="27" spans="3:11" x14ac:dyDescent="0.3">
      <c r="C27"/>
      <c r="D27"/>
      <c r="E27"/>
      <c r="H27"/>
    </row>
    <row r="28" spans="3:11" x14ac:dyDescent="0.3">
      <c r="C28"/>
      <c r="D28"/>
      <c r="E28"/>
      <c r="H28"/>
    </row>
    <row r="29" spans="3:11" x14ac:dyDescent="0.3">
      <c r="C29"/>
      <c r="D29"/>
      <c r="E29"/>
      <c r="H29"/>
    </row>
    <row r="30" spans="3:11" x14ac:dyDescent="0.3">
      <c r="C30"/>
      <c r="D30"/>
      <c r="E30"/>
      <c r="H30"/>
    </row>
    <row r="31" spans="3:11" x14ac:dyDescent="0.3">
      <c r="C31"/>
      <c r="D31"/>
      <c r="E31"/>
      <c r="H31"/>
    </row>
    <row r="32" spans="3:11" x14ac:dyDescent="0.3">
      <c r="C32"/>
      <c r="D32"/>
      <c r="E32"/>
      <c r="H32"/>
    </row>
    <row r="33" spans="3:17" x14ac:dyDescent="0.3">
      <c r="C33"/>
      <c r="D33"/>
      <c r="E33"/>
      <c r="H33"/>
      <c r="Q33" t="s">
        <v>62</v>
      </c>
    </row>
    <row r="34" spans="3:17" x14ac:dyDescent="0.3">
      <c r="C34"/>
      <c r="D34"/>
      <c r="E34"/>
      <c r="H34"/>
    </row>
    <row r="35" spans="3:17" x14ac:dyDescent="0.3">
      <c r="C35"/>
      <c r="D35"/>
      <c r="E35"/>
      <c r="H35"/>
    </row>
    <row r="36" spans="3:17" x14ac:dyDescent="0.3">
      <c r="C36"/>
      <c r="D36"/>
      <c r="E36"/>
      <c r="H36"/>
    </row>
    <row r="37" spans="3:17" x14ac:dyDescent="0.3">
      <c r="C37"/>
      <c r="D37"/>
      <c r="E37"/>
      <c r="H37"/>
    </row>
    <row r="38" spans="3:17" x14ac:dyDescent="0.3">
      <c r="C38"/>
      <c r="D38"/>
      <c r="E38"/>
      <c r="H38"/>
    </row>
    <row r="39" spans="3:17" x14ac:dyDescent="0.3">
      <c r="C39"/>
      <c r="D39"/>
      <c r="E39"/>
      <c r="H39"/>
    </row>
    <row r="40" spans="3:17" x14ac:dyDescent="0.3">
      <c r="C40"/>
      <c r="D40"/>
      <c r="E40"/>
      <c r="H40"/>
    </row>
    <row r="41" spans="3:17" x14ac:dyDescent="0.3">
      <c r="C41"/>
      <c r="D41"/>
      <c r="E41"/>
      <c r="H41"/>
    </row>
    <row r="42" spans="3:17" x14ac:dyDescent="0.3">
      <c r="C42"/>
      <c r="D42"/>
      <c r="E42"/>
      <c r="H42"/>
    </row>
    <row r="43" spans="3:17" x14ac:dyDescent="0.3">
      <c r="C43"/>
      <c r="D43"/>
      <c r="E43"/>
      <c r="H43"/>
    </row>
    <row r="44" spans="3:17" x14ac:dyDescent="0.3">
      <c r="C44"/>
      <c r="D44"/>
      <c r="E44"/>
      <c r="H44"/>
    </row>
    <row r="45" spans="3:17" x14ac:dyDescent="0.3">
      <c r="C45"/>
      <c r="D45"/>
      <c r="E45"/>
      <c r="H45"/>
    </row>
    <row r="46" spans="3:17" x14ac:dyDescent="0.3">
      <c r="C46"/>
      <c r="D46"/>
      <c r="E46"/>
      <c r="H46"/>
    </row>
    <row r="47" spans="3:17" x14ac:dyDescent="0.3">
      <c r="C47"/>
      <c r="D47"/>
      <c r="E47"/>
      <c r="H47"/>
    </row>
    <row r="48" spans="3:17" x14ac:dyDescent="0.3">
      <c r="C48"/>
      <c r="D48"/>
      <c r="E48"/>
      <c r="H48"/>
    </row>
    <row r="49" spans="3:8" x14ac:dyDescent="0.3">
      <c r="C49"/>
      <c r="D49"/>
      <c r="E49"/>
      <c r="H49"/>
    </row>
    <row r="50" spans="3:8" x14ac:dyDescent="0.3">
      <c r="C50"/>
      <c r="D50"/>
      <c r="E50"/>
      <c r="H50"/>
    </row>
    <row r="51" spans="3:8" x14ac:dyDescent="0.3">
      <c r="C51"/>
      <c r="D51"/>
      <c r="E51"/>
      <c r="H51"/>
    </row>
    <row r="52" spans="3:8" x14ac:dyDescent="0.3">
      <c r="C52"/>
      <c r="D52"/>
      <c r="E52"/>
      <c r="H52"/>
    </row>
    <row r="53" spans="3:8" x14ac:dyDescent="0.3">
      <c r="C53"/>
      <c r="D53"/>
      <c r="E53"/>
      <c r="H53"/>
    </row>
    <row r="54" spans="3:8" x14ac:dyDescent="0.3">
      <c r="C54"/>
      <c r="D54"/>
      <c r="E54"/>
      <c r="H54"/>
    </row>
    <row r="55" spans="3:8" x14ac:dyDescent="0.3">
      <c r="C55"/>
      <c r="D55"/>
      <c r="E55"/>
      <c r="H55"/>
    </row>
    <row r="56" spans="3:8" x14ac:dyDescent="0.3">
      <c r="C56"/>
      <c r="D56"/>
      <c r="E56"/>
      <c r="H56"/>
    </row>
    <row r="57" spans="3:8" x14ac:dyDescent="0.3">
      <c r="C57"/>
      <c r="D57"/>
      <c r="E57"/>
      <c r="H57"/>
    </row>
    <row r="58" spans="3:8" x14ac:dyDescent="0.3">
      <c r="C58"/>
      <c r="D58"/>
      <c r="E58"/>
      <c r="H58"/>
    </row>
    <row r="59" spans="3:8" x14ac:dyDescent="0.3">
      <c r="C59"/>
      <c r="D59"/>
      <c r="E59"/>
      <c r="H59"/>
    </row>
    <row r="60" spans="3:8" x14ac:dyDescent="0.3">
      <c r="C60"/>
      <c r="D60"/>
      <c r="E60"/>
      <c r="H60"/>
    </row>
    <row r="61" spans="3:8" x14ac:dyDescent="0.3">
      <c r="C61"/>
      <c r="D61"/>
      <c r="E61"/>
      <c r="H61"/>
    </row>
    <row r="62" spans="3:8" x14ac:dyDescent="0.3">
      <c r="C62"/>
      <c r="D62"/>
      <c r="E62"/>
      <c r="H62"/>
    </row>
    <row r="63" spans="3:8" x14ac:dyDescent="0.3">
      <c r="C63"/>
      <c r="D63"/>
      <c r="E63"/>
      <c r="H63"/>
    </row>
    <row r="64" spans="3:8" x14ac:dyDescent="0.3">
      <c r="C64"/>
      <c r="D64"/>
      <c r="E64"/>
      <c r="H64"/>
    </row>
    <row r="65" spans="3:8" x14ac:dyDescent="0.3">
      <c r="C65"/>
      <c r="D65"/>
      <c r="E65"/>
      <c r="H65"/>
    </row>
    <row r="66" spans="3:8" x14ac:dyDescent="0.3">
      <c r="C66"/>
      <c r="D66"/>
      <c r="E66"/>
      <c r="H66"/>
    </row>
    <row r="67" spans="3:8" x14ac:dyDescent="0.3">
      <c r="C67"/>
      <c r="D67"/>
      <c r="E67"/>
      <c r="H67"/>
    </row>
    <row r="68" spans="3:8" x14ac:dyDescent="0.3">
      <c r="C68"/>
      <c r="D68"/>
      <c r="E68"/>
      <c r="H68"/>
    </row>
    <row r="69" spans="3:8" x14ac:dyDescent="0.3">
      <c r="C69"/>
      <c r="D69"/>
      <c r="E69"/>
      <c r="H69"/>
    </row>
    <row r="70" spans="3:8" x14ac:dyDescent="0.3">
      <c r="C70"/>
      <c r="D70"/>
      <c r="E70"/>
      <c r="H70"/>
    </row>
    <row r="71" spans="3:8" x14ac:dyDescent="0.3">
      <c r="C71"/>
      <c r="D71"/>
      <c r="E71"/>
      <c r="H71"/>
    </row>
    <row r="72" spans="3:8" x14ac:dyDescent="0.3">
      <c r="C72"/>
      <c r="D72"/>
      <c r="E72"/>
      <c r="H72"/>
    </row>
    <row r="73" spans="3:8" x14ac:dyDescent="0.3">
      <c r="C73"/>
      <c r="D73"/>
      <c r="E73"/>
      <c r="H73"/>
    </row>
  </sheetData>
  <sortState ref="A2:G73">
    <sortCondition descending="1" ref="F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otón 3">
              <controlPr defaultSize="0" autoFill="0" autoPict="0" macro="[0]!Botón3_Haga_clic_en">
                <anchor moveWithCells="1" sizeWithCells="1">
                  <from>
                    <xdr:col>12</xdr:col>
                    <xdr:colOff>624840</xdr:colOff>
                    <xdr:row>4</xdr:row>
                    <xdr:rowOff>167640</xdr:rowOff>
                  </from>
                  <to>
                    <xdr:col>13</xdr:col>
                    <xdr:colOff>685800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otón 4">
              <controlPr defaultSize="0" autoFill="0" autoPict="0" macro="[0]!ImportarTxt">
                <anchor moveWithCells="1" sizeWithCells="1">
                  <from>
                    <xdr:col>11</xdr:col>
                    <xdr:colOff>297180</xdr:colOff>
                    <xdr:row>8</xdr:row>
                    <xdr:rowOff>137160</xdr:rowOff>
                  </from>
                  <to>
                    <xdr:col>12</xdr:col>
                    <xdr:colOff>441960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otón 6">
              <controlPr defaultSize="0" autoFill="0" autoPict="0" macro="[0]!Borrar">
                <anchor moveWithCells="1" sizeWithCells="1">
                  <from>
                    <xdr:col>12</xdr:col>
                    <xdr:colOff>624840</xdr:colOff>
                    <xdr:row>8</xdr:row>
                    <xdr:rowOff>152400</xdr:rowOff>
                  </from>
                  <to>
                    <xdr:col>13</xdr:col>
                    <xdr:colOff>678180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otón 10">
              <controlPr defaultSize="0" autoFill="0" autoPict="0" macro="[0]!Botón10_Haga_clic_en">
                <anchor moveWithCells="1" sizeWithCells="1">
                  <from>
                    <xdr:col>11</xdr:col>
                    <xdr:colOff>281940</xdr:colOff>
                    <xdr:row>4</xdr:row>
                    <xdr:rowOff>160020</xdr:rowOff>
                  </from>
                  <to>
                    <xdr:col>12</xdr:col>
                    <xdr:colOff>419100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L1048553"/>
  <sheetViews>
    <sheetView zoomScale="55" zoomScaleNormal="55" workbookViewId="0">
      <selection activeCell="E46" sqref="E46"/>
    </sheetView>
  </sheetViews>
  <sheetFormatPr baseColWidth="10" defaultRowHeight="15" customHeight="1" x14ac:dyDescent="0.3"/>
  <cols>
    <col min="1" max="1" width="3.88671875" style="4" customWidth="1"/>
    <col min="2" max="2" width="3.88671875" style="11" customWidth="1"/>
    <col min="3" max="3" width="3.88671875" style="12" customWidth="1"/>
    <col min="4" max="4" width="7.44140625" style="12" customWidth="1"/>
    <col min="5" max="5" width="11.5546875" customWidth="1"/>
    <col min="6" max="6" width="15.88671875" customWidth="1"/>
    <col min="7" max="7" width="16.88671875" customWidth="1"/>
    <col min="8" max="8" width="15.109375" customWidth="1"/>
    <col min="9" max="9" width="11.5546875" style="4" customWidth="1"/>
    <col min="10" max="10" width="17.109375" style="4" customWidth="1"/>
    <col min="11" max="12" width="11.5546875" style="4" customWidth="1"/>
    <col min="13" max="13" width="18.33203125" style="4" customWidth="1"/>
    <col min="14" max="14" width="11.6640625" style="4" customWidth="1"/>
    <col min="15" max="18" width="6.77734375" style="2" customWidth="1"/>
    <col min="19" max="19" width="6.88671875" style="2" customWidth="1"/>
    <col min="20" max="25" width="6.77734375" style="2" customWidth="1"/>
    <col min="26" max="26" width="7.5546875" style="2" customWidth="1"/>
    <col min="27" max="27" width="7.109375" style="2" customWidth="1"/>
    <col min="28" max="29" width="11.5546875" style="2"/>
    <col min="30" max="30" width="12.109375" style="2" customWidth="1"/>
    <col min="31" max="16384" width="11.5546875" style="2"/>
  </cols>
  <sheetData>
    <row r="1" spans="1:38" ht="15" customHeight="1" x14ac:dyDescent="0.3">
      <c r="A1" s="17" t="s">
        <v>49</v>
      </c>
      <c r="B1" s="19" t="s">
        <v>50</v>
      </c>
      <c r="C1" s="17" t="s">
        <v>44</v>
      </c>
      <c r="D1" s="17" t="s">
        <v>45</v>
      </c>
      <c r="E1" s="17">
        <v>0</v>
      </c>
      <c r="F1" s="17">
        <v>0</v>
      </c>
      <c r="G1" s="17">
        <v>0</v>
      </c>
      <c r="H1" s="17"/>
      <c r="I1" s="20"/>
      <c r="J1" s="20"/>
      <c r="K1" s="17"/>
      <c r="L1" s="17"/>
      <c r="M1" s="17" t="s">
        <v>56</v>
      </c>
      <c r="N1" s="15">
        <v>0</v>
      </c>
      <c r="O1" s="11" t="s">
        <v>52</v>
      </c>
      <c r="P1" s="17">
        <f ca="1">RAND()</f>
        <v>0.42644077275287451</v>
      </c>
      <c r="Q1" s="17">
        <f t="shared" ref="Q1:R1" ca="1" si="0">RAND()</f>
        <v>0.97530283836008758</v>
      </c>
      <c r="R1" s="17">
        <f t="shared" ca="1" si="0"/>
        <v>0.66891347143939095</v>
      </c>
      <c r="S1" s="11"/>
      <c r="T1" s="11" t="s">
        <v>0</v>
      </c>
      <c r="U1" s="11"/>
      <c r="V1" s="11"/>
      <c r="W1" s="11"/>
      <c r="X1" s="11">
        <v>24</v>
      </c>
      <c r="Y1" s="11">
        <v>25</v>
      </c>
      <c r="Z1" s="11">
        <v>26</v>
      </c>
      <c r="AA1" s="11"/>
      <c r="AB1" s="11"/>
      <c r="AC1" s="11"/>
      <c r="AD1" s="15"/>
      <c r="AE1" s="21">
        <v>31</v>
      </c>
      <c r="AF1" s="21">
        <v>32</v>
      </c>
      <c r="AG1" s="21">
        <v>33</v>
      </c>
      <c r="AH1" s="21">
        <v>34</v>
      </c>
      <c r="AI1" s="15"/>
      <c r="AJ1" s="15"/>
      <c r="AK1" s="15"/>
      <c r="AL1" s="4"/>
    </row>
    <row r="2" spans="1:38" ht="15" customHeight="1" x14ac:dyDescent="0.3">
      <c r="A2" s="15" t="s">
        <v>0</v>
      </c>
      <c r="B2" s="15" t="s">
        <v>1</v>
      </c>
      <c r="C2" s="15" t="s">
        <v>34</v>
      </c>
      <c r="D2" s="15"/>
      <c r="E2" s="17" t="s">
        <v>34</v>
      </c>
      <c r="F2" s="17" t="s">
        <v>35</v>
      </c>
      <c r="G2" s="17" t="s">
        <v>36</v>
      </c>
      <c r="H2" s="17"/>
      <c r="I2" s="20"/>
      <c r="J2" s="20"/>
      <c r="K2" s="17"/>
      <c r="L2" s="17"/>
      <c r="M2" s="17" t="s">
        <v>57</v>
      </c>
      <c r="N2" s="15">
        <v>0</v>
      </c>
      <c r="O2" s="11"/>
      <c r="P2" s="11"/>
      <c r="Q2" s="11"/>
      <c r="R2" s="11"/>
      <c r="S2" s="11"/>
      <c r="T2" s="11"/>
      <c r="U2" s="11"/>
      <c r="V2" s="22"/>
      <c r="W2" s="23" t="s">
        <v>34</v>
      </c>
      <c r="X2" s="24">
        <f>ROUNDUP(72*D3,0)</f>
        <v>57</v>
      </c>
      <c r="Y2" s="11">
        <v>1</v>
      </c>
      <c r="Z2" s="16">
        <v>1</v>
      </c>
      <c r="AA2" s="11"/>
      <c r="AB2" s="11"/>
      <c r="AC2" s="11"/>
      <c r="AD2" s="15"/>
      <c r="AE2" s="17" t="s">
        <v>37</v>
      </c>
      <c r="AF2" s="17" t="s">
        <v>38</v>
      </c>
      <c r="AG2" s="17" t="s">
        <v>48</v>
      </c>
      <c r="AH2" s="15" t="s">
        <v>51</v>
      </c>
      <c r="AI2" s="15"/>
      <c r="AJ2" s="15"/>
      <c r="AK2" s="15"/>
      <c r="AL2" s="4"/>
    </row>
    <row r="3" spans="1:38" ht="15" customHeight="1" x14ac:dyDescent="0.3">
      <c r="A3" s="15" t="s">
        <v>2</v>
      </c>
      <c r="B3" s="15" t="s">
        <v>3</v>
      </c>
      <c r="C3" s="15" t="s">
        <v>34</v>
      </c>
      <c r="D3" s="15">
        <v>0.7836742051841008</v>
      </c>
      <c r="F3" s="16"/>
      <c r="G3" s="16" t="s">
        <v>20</v>
      </c>
      <c r="H3" s="16"/>
      <c r="I3" s="16"/>
      <c r="J3" s="16"/>
      <c r="K3" s="16"/>
      <c r="L3" s="16"/>
      <c r="M3" s="16"/>
      <c r="N3" s="15"/>
      <c r="O3" s="11"/>
      <c r="P3" s="11"/>
      <c r="Q3" s="11"/>
      <c r="R3" s="11"/>
      <c r="S3" s="11"/>
      <c r="T3" s="11"/>
      <c r="U3" s="11"/>
      <c r="V3" s="22"/>
      <c r="W3" s="25" t="s">
        <v>35</v>
      </c>
      <c r="X3" s="24">
        <f>ROUNDUP(72*D4,0)</f>
        <v>11</v>
      </c>
      <c r="Y3" s="11">
        <f>X2+1</f>
        <v>58</v>
      </c>
      <c r="Z3" s="16"/>
      <c r="AA3" s="11"/>
      <c r="AB3" s="11"/>
      <c r="AC3" s="11"/>
      <c r="AD3" s="15"/>
      <c r="AE3" s="16" t="s">
        <v>20</v>
      </c>
      <c r="AF3" s="16" t="s">
        <v>15</v>
      </c>
      <c r="AG3" s="16" t="s">
        <v>36</v>
      </c>
      <c r="AH3" s="16">
        <v>69</v>
      </c>
      <c r="AI3" s="15"/>
      <c r="AJ3" s="15"/>
      <c r="AK3" s="15"/>
      <c r="AL3" s="4"/>
    </row>
    <row r="4" spans="1:38" ht="15" customHeight="1" x14ac:dyDescent="0.3">
      <c r="A4" s="15" t="s">
        <v>4</v>
      </c>
      <c r="B4" s="15" t="s">
        <v>5</v>
      </c>
      <c r="C4" s="15" t="s">
        <v>34</v>
      </c>
      <c r="D4" s="15">
        <v>0.14588525140168354</v>
      </c>
      <c r="E4" s="16"/>
      <c r="F4" s="16"/>
      <c r="G4" s="16"/>
      <c r="H4" s="16"/>
      <c r="I4" s="16"/>
      <c r="J4" s="16"/>
      <c r="K4" s="16"/>
      <c r="L4" s="16"/>
      <c r="M4" s="16"/>
      <c r="N4" s="15"/>
      <c r="O4" s="22"/>
      <c r="P4" s="22"/>
      <c r="Q4" s="22"/>
      <c r="R4" s="22"/>
      <c r="S4" s="22"/>
      <c r="T4" s="22"/>
      <c r="U4" s="22"/>
      <c r="V4" s="22"/>
      <c r="W4" s="26" t="s">
        <v>36</v>
      </c>
      <c r="X4" s="24">
        <f>72-X2-X3</f>
        <v>4</v>
      </c>
      <c r="Y4" s="11">
        <f>Y3+X3</f>
        <v>69</v>
      </c>
      <c r="Z4" s="16">
        <v>69</v>
      </c>
      <c r="AA4" s="11"/>
      <c r="AB4" s="11"/>
      <c r="AC4" s="11"/>
      <c r="AD4" s="15"/>
      <c r="AE4" s="16"/>
      <c r="AF4" s="16"/>
      <c r="AG4" s="16"/>
      <c r="AH4" s="16"/>
      <c r="AI4" s="15"/>
      <c r="AJ4" s="15"/>
      <c r="AK4" s="15"/>
      <c r="AL4" s="4"/>
    </row>
    <row r="5" spans="1:38" ht="15" customHeight="1" x14ac:dyDescent="0.3">
      <c r="A5" s="15" t="s">
        <v>6</v>
      </c>
      <c r="B5" s="15" t="s">
        <v>7</v>
      </c>
      <c r="C5" s="15" t="s">
        <v>34</v>
      </c>
      <c r="D5" s="15">
        <v>7.0440543414215642E-2</v>
      </c>
      <c r="E5" s="16"/>
      <c r="F5" s="16"/>
      <c r="G5" s="16"/>
      <c r="H5" s="16"/>
      <c r="I5" s="16"/>
      <c r="J5" s="16"/>
      <c r="K5" s="16"/>
      <c r="L5" s="16"/>
      <c r="M5" s="16"/>
      <c r="N5" s="21"/>
      <c r="O5" s="27"/>
      <c r="P5" s="27"/>
      <c r="Q5" s="27"/>
      <c r="R5" s="27"/>
      <c r="S5" s="27"/>
      <c r="T5" s="27"/>
      <c r="U5" s="27"/>
      <c r="V5" s="27"/>
      <c r="W5" s="27"/>
      <c r="X5" s="27"/>
      <c r="Y5" s="12"/>
      <c r="Z5" s="12"/>
      <c r="AA5" s="12"/>
      <c r="AB5" s="12"/>
      <c r="AC5" s="11"/>
      <c r="AD5" s="15"/>
      <c r="AE5" s="16"/>
      <c r="AF5" s="16"/>
      <c r="AG5" s="16"/>
      <c r="AH5" s="16"/>
      <c r="AI5" s="15"/>
      <c r="AJ5" s="15"/>
      <c r="AK5" s="15"/>
      <c r="AL5" s="4"/>
    </row>
    <row r="6" spans="1:38" ht="30" customHeight="1" x14ac:dyDescent="0.3">
      <c r="A6" s="15" t="s">
        <v>8</v>
      </c>
      <c r="B6" s="15" t="s">
        <v>7</v>
      </c>
      <c r="C6" s="15" t="s">
        <v>34</v>
      </c>
      <c r="D6" s="15"/>
      <c r="E6" s="16"/>
      <c r="F6" s="16"/>
      <c r="G6" s="16"/>
      <c r="H6" s="16"/>
      <c r="I6" s="16"/>
      <c r="J6" s="16"/>
      <c r="K6" s="16"/>
      <c r="L6" s="16"/>
      <c r="M6" s="16"/>
      <c r="N6" s="21"/>
      <c r="O6"/>
      <c r="P6"/>
      <c r="Q6"/>
      <c r="R6"/>
      <c r="S6"/>
      <c r="T6"/>
      <c r="U6"/>
      <c r="V6"/>
      <c r="W6"/>
      <c r="X6"/>
      <c r="Y6"/>
      <c r="Z6" s="28" t="s">
        <v>20</v>
      </c>
      <c r="AA6"/>
      <c r="AB6" s="27"/>
      <c r="AC6" s="11"/>
      <c r="AD6" s="15"/>
      <c r="AE6" s="16"/>
      <c r="AF6" s="16"/>
      <c r="AG6" s="16"/>
      <c r="AH6" s="16"/>
      <c r="AI6" s="15"/>
      <c r="AJ6" s="15"/>
      <c r="AK6" s="15"/>
      <c r="AL6" s="4"/>
    </row>
    <row r="7" spans="1:38" ht="30" customHeight="1" x14ac:dyDescent="0.3">
      <c r="A7" s="15" t="s">
        <v>9</v>
      </c>
      <c r="B7" s="15" t="s">
        <v>7</v>
      </c>
      <c r="C7" s="15" t="s">
        <v>34</v>
      </c>
      <c r="D7" s="15"/>
      <c r="E7" s="16"/>
      <c r="F7" s="16"/>
      <c r="G7" s="16"/>
      <c r="H7" s="16"/>
      <c r="I7" s="16"/>
      <c r="J7" s="16"/>
      <c r="K7" s="16"/>
      <c r="L7" s="16"/>
      <c r="M7" s="16"/>
      <c r="N7" s="21"/>
      <c r="O7"/>
      <c r="P7"/>
      <c r="Q7"/>
      <c r="R7"/>
      <c r="S7"/>
      <c r="T7"/>
      <c r="U7"/>
      <c r="V7"/>
      <c r="W7"/>
      <c r="X7"/>
      <c r="Y7"/>
      <c r="Z7"/>
      <c r="AA7"/>
      <c r="AB7" s="27"/>
      <c r="AC7" s="11"/>
      <c r="AD7" s="15"/>
      <c r="AE7" s="16"/>
      <c r="AF7" s="16"/>
      <c r="AG7" s="16"/>
      <c r="AH7" s="16"/>
      <c r="AI7" s="15"/>
      <c r="AJ7" s="15"/>
      <c r="AK7" s="15"/>
      <c r="AL7" s="4"/>
    </row>
    <row r="8" spans="1:38" ht="30" customHeight="1" x14ac:dyDescent="0.3">
      <c r="A8" s="15" t="s">
        <v>10</v>
      </c>
      <c r="B8" s="15" t="s">
        <v>7</v>
      </c>
      <c r="C8" s="15" t="s">
        <v>34</v>
      </c>
      <c r="D8" s="15"/>
      <c r="E8" s="16"/>
      <c r="F8" s="16"/>
      <c r="G8" s="16"/>
      <c r="H8" s="16"/>
      <c r="I8" s="16"/>
      <c r="J8" s="16"/>
      <c r="K8" s="16"/>
      <c r="L8" s="16"/>
      <c r="M8" s="16"/>
      <c r="N8" s="21"/>
      <c r="O8"/>
      <c r="P8"/>
      <c r="Q8"/>
      <c r="R8"/>
      <c r="S8"/>
      <c r="T8"/>
      <c r="U8"/>
      <c r="V8"/>
      <c r="W8"/>
      <c r="X8"/>
      <c r="Y8"/>
      <c r="Z8"/>
      <c r="AA8"/>
      <c r="AB8" s="27"/>
      <c r="AC8" s="11"/>
      <c r="AD8" s="15"/>
      <c r="AE8" s="16"/>
      <c r="AF8" s="16"/>
      <c r="AG8" s="16"/>
      <c r="AH8" s="16"/>
      <c r="AI8" s="15"/>
      <c r="AJ8" s="15"/>
      <c r="AK8" s="15"/>
      <c r="AL8" s="4"/>
    </row>
    <row r="9" spans="1:38" ht="30" customHeight="1" x14ac:dyDescent="0.3">
      <c r="A9" s="15" t="s">
        <v>11</v>
      </c>
      <c r="B9" s="15" t="s">
        <v>5</v>
      </c>
      <c r="C9" s="15" t="s">
        <v>35</v>
      </c>
      <c r="D9" s="15"/>
      <c r="E9" s="16"/>
      <c r="F9" s="16"/>
      <c r="G9" s="16"/>
      <c r="H9" s="16"/>
      <c r="I9" s="16"/>
      <c r="J9" s="16"/>
      <c r="K9" s="16"/>
      <c r="L9" s="16"/>
      <c r="M9" s="16"/>
      <c r="N9" s="21"/>
      <c r="O9"/>
      <c r="P9"/>
      <c r="Q9"/>
      <c r="R9"/>
      <c r="S9"/>
      <c r="T9"/>
      <c r="U9"/>
      <c r="V9"/>
      <c r="W9"/>
      <c r="X9"/>
      <c r="Y9"/>
      <c r="Z9"/>
      <c r="AA9"/>
      <c r="AB9" s="27"/>
      <c r="AC9" s="11"/>
      <c r="AD9" s="15"/>
      <c r="AE9" s="16"/>
      <c r="AF9" s="16"/>
      <c r="AG9" s="16"/>
      <c r="AH9" s="16"/>
      <c r="AI9" s="15"/>
      <c r="AJ9" s="15"/>
      <c r="AK9" s="15"/>
      <c r="AL9" s="4"/>
    </row>
    <row r="10" spans="1:38" ht="30" customHeight="1" x14ac:dyDescent="0.3">
      <c r="A10" s="15" t="s">
        <v>12</v>
      </c>
      <c r="B10" s="15" t="s">
        <v>7</v>
      </c>
      <c r="C10" s="15" t="s">
        <v>35</v>
      </c>
      <c r="D10" s="15"/>
      <c r="E10" s="16"/>
      <c r="F10" s="16"/>
      <c r="G10" s="16"/>
      <c r="H10" s="16"/>
      <c r="I10" s="16"/>
      <c r="J10" s="16">
        <v>1</v>
      </c>
      <c r="K10" s="16"/>
      <c r="L10" s="16"/>
      <c r="M10" s="16"/>
      <c r="N10" s="21"/>
      <c r="O10"/>
      <c r="P10"/>
      <c r="Q10"/>
      <c r="R10"/>
      <c r="S10"/>
      <c r="T10"/>
      <c r="U10"/>
      <c r="V10"/>
      <c r="W10"/>
      <c r="X10"/>
      <c r="Y10"/>
      <c r="Z10"/>
      <c r="AA10"/>
      <c r="AB10" s="27"/>
      <c r="AC10" s="11"/>
      <c r="AD10" s="15"/>
      <c r="AE10" s="16"/>
      <c r="AF10" s="16"/>
      <c r="AG10" s="16"/>
      <c r="AH10" s="16"/>
      <c r="AI10" s="15"/>
      <c r="AJ10" s="15"/>
      <c r="AK10" s="15"/>
      <c r="AL10" s="4"/>
    </row>
    <row r="11" spans="1:38" ht="30" customHeight="1" x14ac:dyDescent="0.3">
      <c r="A11" s="15" t="s">
        <v>13</v>
      </c>
      <c r="B11" s="15" t="s">
        <v>7</v>
      </c>
      <c r="C11" s="15" t="s">
        <v>35</v>
      </c>
      <c r="D11" s="15"/>
      <c r="E11" s="16"/>
      <c r="F11" s="16"/>
      <c r="G11" s="16"/>
      <c r="H11" s="16"/>
      <c r="I11" s="16"/>
      <c r="J11" s="16"/>
      <c r="K11" s="16"/>
      <c r="L11" s="16"/>
      <c r="M11" s="16"/>
      <c r="N11" s="21"/>
      <c r="O11"/>
      <c r="P11"/>
      <c r="Q11"/>
      <c r="R11"/>
      <c r="S11"/>
      <c r="T11"/>
      <c r="U11"/>
      <c r="V11"/>
      <c r="W11"/>
      <c r="X11"/>
      <c r="Y11"/>
      <c r="Z11"/>
      <c r="AA11"/>
      <c r="AB11" s="27"/>
      <c r="AC11" s="11"/>
      <c r="AD11" s="15"/>
      <c r="AE11" s="16"/>
      <c r="AF11" s="16"/>
      <c r="AG11" s="16"/>
      <c r="AH11" s="16"/>
      <c r="AI11" s="15"/>
      <c r="AJ11" s="15"/>
      <c r="AK11" s="15"/>
      <c r="AL11" s="4"/>
    </row>
    <row r="12" spans="1:38" ht="15" customHeight="1" x14ac:dyDescent="0.3">
      <c r="A12" s="15" t="s">
        <v>14</v>
      </c>
      <c r="B12" s="15" t="s">
        <v>15</v>
      </c>
      <c r="C12" s="15" t="s">
        <v>35</v>
      </c>
      <c r="D12" s="15"/>
      <c r="E12" s="16"/>
      <c r="F12" s="16"/>
      <c r="G12" s="16"/>
      <c r="H12" s="16"/>
      <c r="I12" s="16"/>
      <c r="J12" s="16"/>
      <c r="K12" s="16"/>
      <c r="L12" s="16"/>
      <c r="M12" s="16"/>
      <c r="N12" s="21"/>
      <c r="O12" s="21" t="s">
        <v>58</v>
      </c>
      <c r="P12" s="21" t="s">
        <v>58</v>
      </c>
      <c r="Q12" s="21" t="s">
        <v>58</v>
      </c>
      <c r="R12" s="21" t="s">
        <v>58</v>
      </c>
      <c r="S12" s="12" t="s">
        <v>58</v>
      </c>
      <c r="T12" s="21" t="s">
        <v>58</v>
      </c>
      <c r="U12" s="21"/>
      <c r="V12" s="21" t="s">
        <v>58</v>
      </c>
      <c r="W12" s="21" t="s">
        <v>58</v>
      </c>
      <c r="X12" s="21" t="s">
        <v>58</v>
      </c>
      <c r="Y12" s="21" t="s">
        <v>58</v>
      </c>
      <c r="Z12" s="12" t="s">
        <v>58</v>
      </c>
      <c r="AA12" s="12" t="s">
        <v>58</v>
      </c>
      <c r="AB12" s="12"/>
      <c r="AC12" s="11"/>
      <c r="AD12" s="15"/>
      <c r="AE12" s="16"/>
      <c r="AF12" s="16"/>
      <c r="AG12" s="16"/>
      <c r="AH12" s="16"/>
      <c r="AI12" s="15"/>
      <c r="AJ12" s="15"/>
      <c r="AK12" s="15"/>
      <c r="AL12" s="4"/>
    </row>
    <row r="13" spans="1:38" ht="15" customHeight="1" x14ac:dyDescent="0.3">
      <c r="A13" s="15" t="s">
        <v>16</v>
      </c>
      <c r="B13" s="15" t="s">
        <v>17</v>
      </c>
      <c r="C13" s="15" t="s">
        <v>35</v>
      </c>
      <c r="D13" s="15"/>
      <c r="E13" s="16"/>
      <c r="F13" s="16"/>
      <c r="G13" s="16"/>
      <c r="H13" s="16"/>
      <c r="I13" s="16"/>
      <c r="J13" s="16"/>
      <c r="K13" s="16"/>
      <c r="L13" s="16"/>
      <c r="M13" s="16"/>
      <c r="N13" s="15"/>
      <c r="O13" s="15"/>
      <c r="P13" s="15"/>
      <c r="Q13" s="15"/>
      <c r="R13" s="15"/>
      <c r="S13" s="15"/>
      <c r="T13" s="15"/>
      <c r="U13" s="11"/>
      <c r="V13" s="15"/>
      <c r="W13" s="15"/>
      <c r="X13" s="15"/>
      <c r="Y13" s="15"/>
      <c r="Z13" s="15"/>
      <c r="AA13" s="15"/>
      <c r="AB13" s="11"/>
      <c r="AC13" s="11"/>
      <c r="AD13" s="15"/>
      <c r="AE13" s="16"/>
      <c r="AF13" s="16"/>
      <c r="AG13" s="16"/>
      <c r="AH13" s="16"/>
      <c r="AI13" s="15"/>
      <c r="AJ13" s="15"/>
      <c r="AK13" s="15"/>
      <c r="AL13" s="4"/>
    </row>
    <row r="14" spans="1:38" ht="15" customHeight="1" x14ac:dyDescent="0.3">
      <c r="A14" s="15" t="s">
        <v>18</v>
      </c>
      <c r="B14" s="15" t="s">
        <v>15</v>
      </c>
      <c r="C14" s="15" t="s">
        <v>35</v>
      </c>
      <c r="D14" s="15"/>
      <c r="E14" s="16"/>
      <c r="F14" s="16"/>
      <c r="G14" s="16"/>
      <c r="H14" s="16"/>
      <c r="I14" s="16"/>
      <c r="J14" s="16"/>
      <c r="K14" s="16"/>
      <c r="L14" s="16"/>
      <c r="M14" s="16"/>
      <c r="N14" s="15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5"/>
      <c r="AE14" s="16"/>
      <c r="AF14" s="16"/>
      <c r="AG14" s="16"/>
      <c r="AH14" s="16"/>
      <c r="AI14" s="15"/>
      <c r="AJ14" s="15"/>
      <c r="AK14" s="15"/>
      <c r="AL14" s="4"/>
    </row>
    <row r="15" spans="1:38" ht="15" customHeight="1" x14ac:dyDescent="0.3">
      <c r="A15" s="15" t="s">
        <v>19</v>
      </c>
      <c r="B15" s="15" t="s">
        <v>15</v>
      </c>
      <c r="C15" s="15" t="s">
        <v>36</v>
      </c>
      <c r="D15" s="15"/>
      <c r="E15" s="16"/>
      <c r="F15" s="16"/>
      <c r="G15" s="16"/>
      <c r="H15" s="16"/>
      <c r="I15" s="16"/>
      <c r="J15" s="16"/>
      <c r="K15" s="16"/>
      <c r="L15" s="16"/>
      <c r="M15" s="16"/>
      <c r="N15" s="15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11"/>
      <c r="AD15" s="15"/>
      <c r="AE15" s="16"/>
      <c r="AF15" s="16"/>
      <c r="AG15" s="16"/>
      <c r="AH15" s="16"/>
      <c r="AI15" s="15"/>
      <c r="AJ15" s="15"/>
      <c r="AK15" s="15"/>
      <c r="AL15" s="4"/>
    </row>
    <row r="16" spans="1:38" ht="15" customHeight="1" x14ac:dyDescent="0.3">
      <c r="A16" s="15" t="s">
        <v>20</v>
      </c>
      <c r="B16" s="15" t="s">
        <v>15</v>
      </c>
      <c r="C16" s="15" t="s">
        <v>36</v>
      </c>
      <c r="D16" s="15"/>
      <c r="E16" s="16"/>
      <c r="F16" s="16"/>
      <c r="G16" s="16"/>
      <c r="H16" s="16"/>
      <c r="I16" s="16"/>
      <c r="J16" s="16"/>
      <c r="K16" s="16"/>
      <c r="L16" s="16"/>
      <c r="M16" s="16"/>
      <c r="N16" s="15"/>
      <c r="O16" s="14"/>
      <c r="P16" s="14"/>
      <c r="Q16" s="14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11"/>
      <c r="AD16" s="15"/>
      <c r="AE16" s="16"/>
      <c r="AF16" s="16"/>
      <c r="AG16" s="16"/>
      <c r="AH16" s="16"/>
      <c r="AI16" s="15"/>
      <c r="AJ16" s="15"/>
      <c r="AK16" s="15"/>
      <c r="AL16" s="4"/>
    </row>
    <row r="17" spans="1:38" ht="15" customHeight="1" x14ac:dyDescent="0.3">
      <c r="A17" s="15" t="s">
        <v>21</v>
      </c>
      <c r="B17" s="15" t="s">
        <v>15</v>
      </c>
      <c r="C17" s="15" t="s">
        <v>36</v>
      </c>
      <c r="D17" s="15"/>
      <c r="E17" s="16"/>
      <c r="F17" s="16"/>
      <c r="G17" s="16"/>
      <c r="H17" s="16"/>
      <c r="I17" s="16"/>
      <c r="J17" s="16"/>
      <c r="K17" s="16"/>
      <c r="L17" s="16"/>
      <c r="M17" s="16"/>
      <c r="N17" s="15"/>
      <c r="O17" s="14"/>
      <c r="P17" s="14"/>
      <c r="Q17" s="14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11"/>
      <c r="AD17" s="15"/>
      <c r="AE17" s="16"/>
      <c r="AF17" s="16"/>
      <c r="AG17" s="16"/>
      <c r="AH17" s="16"/>
      <c r="AI17" s="15"/>
      <c r="AJ17" s="15"/>
      <c r="AK17" s="15"/>
      <c r="AL17" s="4"/>
    </row>
    <row r="18" spans="1:38" ht="15" customHeight="1" x14ac:dyDescent="0.3">
      <c r="A18" s="15" t="s">
        <v>22</v>
      </c>
      <c r="B18" s="15" t="s">
        <v>17</v>
      </c>
      <c r="C18" s="15" t="s">
        <v>36</v>
      </c>
      <c r="D18" s="15"/>
      <c r="E18" s="16"/>
      <c r="F18" s="16"/>
      <c r="G18" s="16"/>
      <c r="H18" s="16"/>
      <c r="I18" s="16"/>
      <c r="J18" s="16"/>
      <c r="K18" s="16"/>
      <c r="L18" s="16"/>
      <c r="M18" s="16"/>
      <c r="N18" s="15"/>
      <c r="O18" s="15"/>
      <c r="P18" s="15"/>
      <c r="Q18" s="15"/>
      <c r="R18" s="11"/>
      <c r="S18" s="11"/>
      <c r="T18" s="22"/>
      <c r="U18" s="22"/>
      <c r="V18" s="22"/>
      <c r="W18" s="22"/>
      <c r="X18" s="22"/>
      <c r="Y18" s="22"/>
      <c r="Z18" s="22"/>
      <c r="AA18" s="22"/>
      <c r="AB18" s="22"/>
      <c r="AC18" s="11"/>
      <c r="AD18" s="15"/>
      <c r="AE18" s="16"/>
      <c r="AF18" s="16"/>
      <c r="AG18" s="16"/>
      <c r="AH18" s="16"/>
      <c r="AI18" s="15"/>
      <c r="AJ18" s="15"/>
      <c r="AK18" s="15"/>
      <c r="AL18" s="4"/>
    </row>
    <row r="19" spans="1:38" ht="15" customHeight="1" x14ac:dyDescent="0.3">
      <c r="A19" s="15" t="s">
        <v>23</v>
      </c>
      <c r="B19" s="15" t="s">
        <v>24</v>
      </c>
      <c r="C19" s="15" t="s">
        <v>36</v>
      </c>
      <c r="D19" s="15"/>
      <c r="E19" s="16"/>
      <c r="F19" s="16"/>
      <c r="G19" s="16"/>
      <c r="H19" s="16"/>
      <c r="I19" s="16"/>
      <c r="J19" s="16"/>
      <c r="K19" s="16"/>
      <c r="L19" s="16"/>
      <c r="M19" s="16"/>
      <c r="N19" s="17"/>
      <c r="O19" s="17"/>
      <c r="P19" s="17"/>
      <c r="Q19" s="15"/>
      <c r="R19" s="11"/>
      <c r="S19" s="11"/>
      <c r="T19" s="22"/>
      <c r="U19" s="22"/>
      <c r="V19" s="22"/>
      <c r="W19" s="22"/>
      <c r="X19" s="22"/>
      <c r="Y19" s="22"/>
      <c r="Z19" s="22"/>
      <c r="AA19" s="22"/>
      <c r="AB19" s="22"/>
      <c r="AC19" s="11"/>
      <c r="AD19" s="15"/>
      <c r="AE19" s="16"/>
      <c r="AF19" s="16"/>
      <c r="AG19" s="16"/>
      <c r="AH19" s="16"/>
      <c r="AI19" s="15"/>
      <c r="AJ19" s="15"/>
      <c r="AK19" s="15"/>
      <c r="AL19" s="4"/>
    </row>
    <row r="20" spans="1:38" ht="15" customHeight="1" x14ac:dyDescent="0.3">
      <c r="A20" s="15" t="s">
        <v>25</v>
      </c>
      <c r="B20" s="15" t="s">
        <v>15</v>
      </c>
      <c r="C20" s="15" t="s">
        <v>36</v>
      </c>
      <c r="D20" s="15"/>
      <c r="E20" s="16"/>
      <c r="F20" s="16"/>
      <c r="G20" s="16"/>
      <c r="H20" s="16"/>
      <c r="I20" s="16"/>
      <c r="J20" s="16"/>
      <c r="K20" s="16"/>
      <c r="L20" s="16"/>
      <c r="M20" s="16"/>
      <c r="N20" s="15"/>
      <c r="O20" s="15"/>
      <c r="P20" s="15"/>
      <c r="Q20" s="15"/>
      <c r="R20" s="11"/>
      <c r="S20" s="11"/>
      <c r="T20" s="22"/>
      <c r="U20" s="22"/>
      <c r="V20" s="22"/>
      <c r="W20" s="22"/>
      <c r="X20" s="22"/>
      <c r="Y20" s="22"/>
      <c r="Z20" s="22"/>
      <c r="AA20" s="22"/>
      <c r="AB20" s="22"/>
      <c r="AC20" s="11"/>
      <c r="AD20" s="15"/>
      <c r="AE20" s="16"/>
      <c r="AF20" s="16"/>
      <c r="AG20" s="16"/>
      <c r="AH20" s="16"/>
      <c r="AI20" s="15"/>
      <c r="AJ20" s="15"/>
      <c r="AK20" s="15"/>
      <c r="AL20" s="4"/>
    </row>
    <row r="21" spans="1:38" ht="15" customHeight="1" x14ac:dyDescent="0.3">
      <c r="A21" s="15" t="s">
        <v>26</v>
      </c>
      <c r="B21" s="15" t="s">
        <v>27</v>
      </c>
      <c r="C21" s="15" t="s">
        <v>36</v>
      </c>
      <c r="D21" s="15"/>
      <c r="E21" s="16"/>
      <c r="F21" s="16"/>
      <c r="G21" s="16"/>
      <c r="H21" s="16"/>
      <c r="I21" s="16"/>
      <c r="J21" s="16"/>
      <c r="K21" s="16"/>
      <c r="L21" s="16"/>
      <c r="M21" s="16"/>
      <c r="N21" s="15"/>
      <c r="O21" s="15"/>
      <c r="P21" s="15"/>
      <c r="Q21" s="15"/>
      <c r="R21" s="11"/>
      <c r="S21" s="11"/>
      <c r="T21" s="22"/>
      <c r="U21" s="22"/>
      <c r="V21" s="22"/>
      <c r="W21" s="22"/>
      <c r="X21" s="22"/>
      <c r="Y21" s="22"/>
      <c r="Z21" s="22"/>
      <c r="AA21" s="22"/>
      <c r="AB21" s="22"/>
      <c r="AC21" s="11"/>
      <c r="AD21" s="15"/>
      <c r="AE21" s="16"/>
      <c r="AF21" s="16"/>
      <c r="AG21" s="16"/>
      <c r="AH21" s="16"/>
      <c r="AI21" s="15"/>
      <c r="AJ21" s="15"/>
      <c r="AK21" s="15"/>
      <c r="AL21" s="4"/>
    </row>
    <row r="22" spans="1:38" ht="15" customHeight="1" x14ac:dyDescent="0.3">
      <c r="A22" s="15" t="s">
        <v>28</v>
      </c>
      <c r="B22" s="15" t="s">
        <v>15</v>
      </c>
      <c r="C22" s="15" t="s">
        <v>36</v>
      </c>
      <c r="D22" s="15"/>
      <c r="E22" s="16"/>
      <c r="F22" s="16"/>
      <c r="G22" s="16"/>
      <c r="H22" s="16"/>
      <c r="I22" s="16"/>
      <c r="J22" s="16"/>
      <c r="K22" s="16"/>
      <c r="L22" s="16"/>
      <c r="M22" s="16"/>
      <c r="N22" s="15"/>
      <c r="O22" s="11"/>
      <c r="P22" s="11"/>
      <c r="Q22" s="11"/>
      <c r="R22" s="11"/>
      <c r="S22" s="11"/>
      <c r="T22" s="22"/>
      <c r="U22" s="22"/>
      <c r="V22" s="22"/>
      <c r="W22" s="22"/>
      <c r="X22" s="22"/>
      <c r="Y22" s="22"/>
      <c r="Z22" s="22"/>
      <c r="AA22" s="22"/>
      <c r="AB22" s="22"/>
      <c r="AC22" s="11"/>
      <c r="AD22" s="15"/>
      <c r="AE22" s="16"/>
      <c r="AF22" s="16"/>
      <c r="AG22" s="16"/>
      <c r="AH22" s="16"/>
      <c r="AI22" s="15"/>
      <c r="AJ22" s="15"/>
      <c r="AK22" s="15"/>
      <c r="AL22" s="4"/>
    </row>
    <row r="23" spans="1:38" ht="15" customHeight="1" x14ac:dyDescent="0.3">
      <c r="A23" s="15" t="s">
        <v>29</v>
      </c>
      <c r="B23" s="15" t="s">
        <v>27</v>
      </c>
      <c r="C23" s="15" t="s">
        <v>36</v>
      </c>
      <c r="D23" s="15"/>
      <c r="E23" s="16"/>
      <c r="F23" s="16"/>
      <c r="G23" s="16"/>
      <c r="H23" s="16"/>
      <c r="I23" s="16"/>
      <c r="J23" s="16"/>
      <c r="K23" s="16"/>
      <c r="L23" s="16"/>
      <c r="M23" s="16"/>
      <c r="N23" s="15"/>
      <c r="O23" s="17" t="s">
        <v>56</v>
      </c>
      <c r="P23" s="11"/>
      <c r="Q23" s="11"/>
      <c r="R23" s="11"/>
      <c r="S23" s="17" t="s">
        <v>57</v>
      </c>
      <c r="T23" s="22"/>
      <c r="U23" s="22"/>
      <c r="V23" s="22"/>
      <c r="W23" s="22"/>
      <c r="X23" s="22"/>
      <c r="Y23" s="22"/>
      <c r="Z23" s="22"/>
      <c r="AA23" s="22"/>
      <c r="AB23" s="22"/>
      <c r="AC23" s="11"/>
      <c r="AD23" s="15"/>
      <c r="AE23" s="16"/>
      <c r="AF23" s="16"/>
      <c r="AG23" s="16"/>
      <c r="AH23" s="16"/>
      <c r="AI23" s="15"/>
      <c r="AJ23" s="15"/>
      <c r="AK23" s="15"/>
      <c r="AL23" s="4"/>
    </row>
    <row r="24" spans="1:38" ht="15" customHeight="1" x14ac:dyDescent="0.3">
      <c r="A24" s="15" t="s">
        <v>30</v>
      </c>
      <c r="B24" s="15" t="s">
        <v>17</v>
      </c>
      <c r="C24" s="15" t="s">
        <v>36</v>
      </c>
      <c r="D24" s="15"/>
      <c r="E24" s="16"/>
      <c r="F24" s="16"/>
      <c r="G24" s="16"/>
      <c r="H24" s="16"/>
      <c r="I24" s="16"/>
      <c r="J24" s="16"/>
      <c r="K24" s="16"/>
      <c r="L24" s="16"/>
      <c r="M24" s="16"/>
      <c r="N24" s="15"/>
      <c r="O24" s="11" t="s">
        <v>53</v>
      </c>
      <c r="P24" s="11">
        <v>6</v>
      </c>
      <c r="Q24" s="11"/>
      <c r="R24" s="11" t="s">
        <v>53</v>
      </c>
      <c r="S24" s="11">
        <v>11</v>
      </c>
      <c r="T24" s="22"/>
      <c r="U24" s="22"/>
      <c r="V24" s="22"/>
      <c r="W24" s="22"/>
      <c r="X24" s="22"/>
      <c r="Y24" s="22"/>
      <c r="Z24" s="22"/>
      <c r="AA24" s="22"/>
      <c r="AB24" s="22"/>
      <c r="AC24" s="11"/>
      <c r="AD24" s="15"/>
      <c r="AE24" s="16"/>
      <c r="AF24" s="16"/>
      <c r="AG24" s="16"/>
      <c r="AH24" s="16"/>
      <c r="AI24" s="15"/>
      <c r="AJ24" s="15"/>
      <c r="AK24" s="15"/>
      <c r="AL24" s="4"/>
    </row>
    <row r="25" spans="1:38" ht="15" customHeight="1" x14ac:dyDescent="0.3">
      <c r="A25" s="15" t="s">
        <v>31</v>
      </c>
      <c r="B25" s="15" t="s">
        <v>24</v>
      </c>
      <c r="C25" s="15" t="s">
        <v>36</v>
      </c>
      <c r="D25" s="15"/>
      <c r="E25" s="16"/>
      <c r="F25" s="16"/>
      <c r="G25" s="16"/>
      <c r="H25" s="16"/>
      <c r="I25" s="16"/>
      <c r="J25" s="16"/>
      <c r="K25" s="16"/>
      <c r="L25" s="16"/>
      <c r="M25" s="16"/>
      <c r="N25" s="15"/>
      <c r="O25" s="11" t="s">
        <v>54</v>
      </c>
      <c r="P25" s="11">
        <v>26</v>
      </c>
      <c r="Q25" s="11"/>
      <c r="R25" s="11" t="s">
        <v>54</v>
      </c>
      <c r="S25" s="11">
        <v>22</v>
      </c>
      <c r="T25" s="22"/>
      <c r="U25" s="22"/>
      <c r="V25" s="22"/>
      <c r="W25" s="22"/>
      <c r="X25" s="22"/>
      <c r="Y25" s="22"/>
      <c r="Z25" s="22"/>
      <c r="AA25" s="22"/>
      <c r="AB25" s="22"/>
      <c r="AC25" s="11"/>
      <c r="AD25" s="15"/>
      <c r="AE25" s="16"/>
      <c r="AF25" s="16"/>
      <c r="AG25" s="16"/>
      <c r="AH25" s="16"/>
      <c r="AI25" s="15"/>
      <c r="AJ25" s="15"/>
      <c r="AK25" s="15"/>
      <c r="AL25" s="4"/>
    </row>
    <row r="26" spans="1:38" ht="15" customHeight="1" x14ac:dyDescent="0.3">
      <c r="A26" s="15" t="s">
        <v>32</v>
      </c>
      <c r="B26" s="15" t="s">
        <v>27</v>
      </c>
      <c r="C26" s="15" t="s">
        <v>36</v>
      </c>
      <c r="D26" s="15"/>
      <c r="E26" s="16"/>
      <c r="F26" s="16"/>
      <c r="G26" s="16"/>
      <c r="H26" s="16"/>
      <c r="I26" s="16"/>
      <c r="J26" s="16"/>
      <c r="K26" s="16"/>
      <c r="L26" s="16"/>
      <c r="M26" s="16"/>
      <c r="N26" s="15"/>
      <c r="O26" s="11" t="s">
        <v>55</v>
      </c>
      <c r="P26" s="11" t="s">
        <v>20</v>
      </c>
      <c r="Q26" s="11"/>
      <c r="R26" s="11"/>
      <c r="S26" s="11"/>
      <c r="T26" s="22"/>
      <c r="U26" s="22"/>
      <c r="V26" s="22"/>
      <c r="W26" s="22"/>
      <c r="X26" s="22"/>
      <c r="Y26" s="22"/>
      <c r="Z26" s="22"/>
      <c r="AA26" s="22"/>
      <c r="AB26" s="22"/>
      <c r="AC26" s="11"/>
      <c r="AD26" s="15"/>
      <c r="AE26" s="16"/>
      <c r="AF26" s="16"/>
      <c r="AG26" s="16"/>
      <c r="AH26" s="16"/>
      <c r="AI26" s="15"/>
      <c r="AJ26" s="15"/>
      <c r="AK26" s="15"/>
      <c r="AL26" s="4"/>
    </row>
    <row r="27" spans="1:38" ht="15" customHeight="1" x14ac:dyDescent="0.3">
      <c r="A27" s="15" t="s">
        <v>33</v>
      </c>
      <c r="B27" s="15" t="s">
        <v>24</v>
      </c>
      <c r="C27" s="15" t="s">
        <v>36</v>
      </c>
      <c r="D27" s="15"/>
      <c r="E27" s="16"/>
      <c r="F27" s="16"/>
      <c r="G27" s="16"/>
      <c r="H27" s="16"/>
      <c r="I27" s="16"/>
      <c r="J27" s="16"/>
      <c r="K27" s="16"/>
      <c r="L27" s="16"/>
      <c r="M27" s="16"/>
      <c r="N27" s="15"/>
      <c r="O27" s="11"/>
      <c r="P27" s="11"/>
      <c r="Q27" s="11"/>
      <c r="R27" s="11"/>
      <c r="S27" s="11"/>
      <c r="T27" s="22"/>
      <c r="U27" s="22"/>
      <c r="V27" s="22"/>
      <c r="W27" s="22"/>
      <c r="X27" s="22"/>
      <c r="Y27" s="22"/>
      <c r="Z27" s="22"/>
      <c r="AA27" s="22"/>
      <c r="AB27" s="22"/>
      <c r="AC27" s="11"/>
      <c r="AD27" s="15"/>
      <c r="AE27" s="16"/>
      <c r="AF27" s="16"/>
      <c r="AG27" s="16"/>
      <c r="AH27" s="16"/>
      <c r="AI27" s="15"/>
      <c r="AJ27" s="15"/>
      <c r="AK27" s="15"/>
      <c r="AL27" s="4"/>
    </row>
    <row r="28" spans="1:38" ht="15" customHeight="1" x14ac:dyDescent="0.3">
      <c r="A28" s="15"/>
      <c r="B28" s="15"/>
      <c r="C28" s="15"/>
      <c r="D28" s="15"/>
      <c r="E28" s="16"/>
      <c r="F28" s="16"/>
      <c r="G28" s="16"/>
      <c r="H28" s="16"/>
      <c r="I28" s="16"/>
      <c r="J28" s="16"/>
      <c r="K28" s="16"/>
      <c r="L28" s="16"/>
      <c r="M28" s="16"/>
      <c r="N28" s="15"/>
      <c r="O28" s="11"/>
      <c r="P28" s="11"/>
      <c r="Q28" s="11"/>
      <c r="R28" s="11"/>
      <c r="S28" s="11"/>
      <c r="T28" s="22"/>
      <c r="U28" s="22"/>
      <c r="V28" s="22"/>
      <c r="W28" s="22"/>
      <c r="X28" s="22"/>
      <c r="Y28" s="22"/>
      <c r="Z28" s="22"/>
      <c r="AA28" s="22"/>
      <c r="AB28" s="22"/>
      <c r="AC28" s="11"/>
      <c r="AD28" s="15"/>
      <c r="AE28" s="16"/>
      <c r="AF28" s="16"/>
      <c r="AG28" s="16"/>
      <c r="AH28" s="16"/>
      <c r="AI28" s="15"/>
      <c r="AJ28" s="15"/>
      <c r="AK28" s="15"/>
      <c r="AL28" s="4"/>
    </row>
    <row r="29" spans="1:38" ht="15" customHeight="1" x14ac:dyDescent="0.3">
      <c r="A29" s="15"/>
      <c r="B29" s="15"/>
      <c r="C29" s="15"/>
      <c r="D29" s="15"/>
      <c r="E29" s="16"/>
      <c r="F29" s="16"/>
      <c r="G29" s="16"/>
      <c r="H29" s="16"/>
      <c r="I29" s="16"/>
      <c r="J29" s="16"/>
      <c r="K29" s="16"/>
      <c r="L29" s="16"/>
      <c r="M29" s="16"/>
      <c r="N29" s="15"/>
      <c r="O29" s="22" t="s">
        <v>60</v>
      </c>
      <c r="P29" s="22">
        <v>1</v>
      </c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11"/>
      <c r="AD29" s="15"/>
      <c r="AE29" s="16"/>
      <c r="AF29" s="16"/>
      <c r="AG29" s="16"/>
      <c r="AH29" s="16"/>
      <c r="AI29" s="15"/>
      <c r="AJ29" s="15"/>
      <c r="AK29" s="15"/>
      <c r="AL29" s="4"/>
    </row>
    <row r="30" spans="1:38" ht="15" customHeight="1" x14ac:dyDescent="0.3">
      <c r="A30" s="15"/>
      <c r="B30" s="15"/>
      <c r="C30" s="15"/>
      <c r="D30" s="15"/>
      <c r="E30" s="16"/>
      <c r="F30" s="16"/>
      <c r="G30" s="16"/>
      <c r="H30" s="16"/>
      <c r="I30" s="16"/>
      <c r="J30" s="16"/>
      <c r="K30" s="16"/>
      <c r="L30" s="16"/>
      <c r="M30" s="16"/>
      <c r="N30" s="15"/>
      <c r="O30" s="22" t="s">
        <v>59</v>
      </c>
      <c r="P30" s="22">
        <v>1</v>
      </c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11"/>
      <c r="AD30" s="15"/>
      <c r="AE30" s="16"/>
      <c r="AF30" s="16"/>
      <c r="AG30" s="16"/>
      <c r="AH30" s="16"/>
      <c r="AI30" s="15"/>
      <c r="AJ30" s="15"/>
      <c r="AK30" s="15"/>
      <c r="AL30" s="4"/>
    </row>
    <row r="31" spans="1:38" ht="15" customHeight="1" x14ac:dyDescent="0.3">
      <c r="A31" s="15"/>
      <c r="B31" s="15"/>
      <c r="C31" s="15"/>
      <c r="D31" s="15"/>
      <c r="E31" s="16"/>
      <c r="F31" s="16"/>
      <c r="G31" s="16"/>
      <c r="H31" s="16"/>
      <c r="I31" s="16"/>
      <c r="J31" s="16"/>
      <c r="K31" s="16"/>
      <c r="L31" s="16"/>
      <c r="M31" s="16"/>
      <c r="N31" s="15"/>
      <c r="O31" s="22" t="s">
        <v>61</v>
      </c>
      <c r="P31" s="22">
        <v>0</v>
      </c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11"/>
      <c r="AD31" s="15"/>
      <c r="AE31" s="16"/>
      <c r="AF31" s="16"/>
      <c r="AG31" s="16"/>
      <c r="AH31" s="16"/>
      <c r="AI31" s="15"/>
      <c r="AJ31" s="15"/>
      <c r="AK31" s="15"/>
      <c r="AL31" s="4"/>
    </row>
    <row r="32" spans="1:38" ht="15" customHeight="1" x14ac:dyDescent="0.3">
      <c r="A32" s="15"/>
      <c r="B32" s="15"/>
      <c r="C32" s="15"/>
      <c r="D32" s="15"/>
      <c r="E32" s="16"/>
      <c r="F32" s="16"/>
      <c r="G32" s="16"/>
      <c r="H32" s="16"/>
      <c r="I32" s="16"/>
      <c r="J32" s="16"/>
      <c r="K32" s="16"/>
      <c r="L32" s="16"/>
      <c r="M32" s="16"/>
      <c r="N32" s="15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11"/>
      <c r="AD32" s="15"/>
      <c r="AE32" s="16"/>
      <c r="AF32" s="16"/>
      <c r="AG32" s="16"/>
      <c r="AH32" s="16"/>
      <c r="AI32" s="15"/>
      <c r="AJ32" s="15"/>
      <c r="AK32" s="15"/>
      <c r="AL32" s="4"/>
    </row>
    <row r="33" spans="1:38" ht="15" customHeight="1" x14ac:dyDescent="0.3">
      <c r="A33" s="15"/>
      <c r="B33" s="15"/>
      <c r="C33" s="15"/>
      <c r="D33" s="15"/>
      <c r="E33" s="16"/>
      <c r="F33" s="16"/>
      <c r="G33" s="16"/>
      <c r="H33" s="16"/>
      <c r="I33" s="16"/>
      <c r="J33" s="16"/>
      <c r="K33" s="16"/>
      <c r="L33" s="16"/>
      <c r="M33" s="16"/>
      <c r="N33" s="15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11"/>
      <c r="AD33" s="15"/>
      <c r="AE33" s="16"/>
      <c r="AF33" s="16"/>
      <c r="AG33" s="16"/>
      <c r="AH33" s="16"/>
      <c r="AI33" s="15"/>
      <c r="AJ33" s="15"/>
      <c r="AK33" s="15"/>
      <c r="AL33" s="4"/>
    </row>
    <row r="34" spans="1:38" ht="15" customHeight="1" x14ac:dyDescent="0.3">
      <c r="A34" s="15"/>
      <c r="B34" s="15"/>
      <c r="C34" s="15"/>
      <c r="D34" s="15"/>
      <c r="E34" s="16"/>
      <c r="F34" s="16"/>
      <c r="G34" s="16"/>
      <c r="H34" s="16"/>
      <c r="I34" s="16"/>
      <c r="J34" s="16"/>
      <c r="K34" s="16"/>
      <c r="L34" s="16"/>
      <c r="M34" s="16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1"/>
      <c r="AD34" s="15"/>
      <c r="AE34" s="16"/>
      <c r="AF34" s="16"/>
      <c r="AG34" s="16"/>
      <c r="AH34" s="16"/>
      <c r="AI34" s="15"/>
      <c r="AJ34" s="15"/>
      <c r="AK34" s="15"/>
      <c r="AL34" s="4"/>
    </row>
    <row r="35" spans="1:38" ht="15" customHeight="1" x14ac:dyDescent="0.3">
      <c r="A35" s="15"/>
      <c r="B35" s="15"/>
      <c r="C35" s="15"/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4"/>
      <c r="O35" s="15">
        <v>72</v>
      </c>
      <c r="P35" s="15">
        <v>70</v>
      </c>
      <c r="Q35" s="15">
        <v>68</v>
      </c>
      <c r="R35" s="15">
        <v>66</v>
      </c>
      <c r="S35" s="15">
        <v>64</v>
      </c>
      <c r="T35" s="15">
        <v>62</v>
      </c>
      <c r="U35" s="15"/>
      <c r="V35" s="15">
        <v>61</v>
      </c>
      <c r="W35" s="15">
        <v>63</v>
      </c>
      <c r="X35" s="15">
        <v>65</v>
      </c>
      <c r="Y35" s="15">
        <v>67</v>
      </c>
      <c r="Z35" s="15">
        <v>69</v>
      </c>
      <c r="AA35" s="15">
        <v>71</v>
      </c>
      <c r="AB35" s="15"/>
      <c r="AC35" s="11"/>
      <c r="AD35" s="15"/>
      <c r="AE35"/>
      <c r="AF35"/>
      <c r="AG35"/>
      <c r="AH35"/>
      <c r="AI35" s="15"/>
      <c r="AJ35" s="15"/>
      <c r="AK35" s="15"/>
      <c r="AL35" s="4"/>
    </row>
    <row r="36" spans="1:38" ht="15" customHeight="1" x14ac:dyDescent="0.3">
      <c r="A36" s="15"/>
      <c r="B36" s="15"/>
      <c r="C36" s="15"/>
      <c r="D36" s="15"/>
      <c r="E36" s="16"/>
      <c r="F36" s="16"/>
      <c r="G36" s="16"/>
      <c r="H36" s="16"/>
      <c r="I36" s="16"/>
      <c r="J36" s="16"/>
      <c r="K36" s="16"/>
      <c r="L36" s="16"/>
      <c r="M36" s="16"/>
      <c r="N36" s="14"/>
      <c r="O36" s="15">
        <v>60</v>
      </c>
      <c r="P36" s="15">
        <v>58</v>
      </c>
      <c r="Q36" s="15">
        <v>56</v>
      </c>
      <c r="R36" s="15">
        <v>54</v>
      </c>
      <c r="S36" s="15">
        <v>52</v>
      </c>
      <c r="T36" s="15">
        <v>50</v>
      </c>
      <c r="U36" s="15"/>
      <c r="V36" s="15">
        <v>49</v>
      </c>
      <c r="W36" s="15">
        <v>51</v>
      </c>
      <c r="X36" s="15">
        <v>53</v>
      </c>
      <c r="Y36" s="15">
        <v>55</v>
      </c>
      <c r="Z36" s="15">
        <v>57</v>
      </c>
      <c r="AA36" s="15">
        <v>59</v>
      </c>
      <c r="AB36" s="15"/>
      <c r="AC36" s="11"/>
      <c r="AD36" s="14"/>
      <c r="AE36"/>
      <c r="AF36"/>
      <c r="AG36"/>
      <c r="AH36"/>
      <c r="AI36" s="15"/>
      <c r="AJ36" s="15"/>
      <c r="AK36" s="15"/>
      <c r="AL36" s="4"/>
    </row>
    <row r="37" spans="1:38" ht="15" customHeight="1" x14ac:dyDescent="0.3">
      <c r="A37" s="15"/>
      <c r="B37" s="15"/>
      <c r="C37" s="15"/>
      <c r="D37" s="15"/>
      <c r="E37" s="16"/>
      <c r="F37" s="16"/>
      <c r="G37" s="16"/>
      <c r="H37" s="16"/>
      <c r="I37" s="16"/>
      <c r="J37" s="16"/>
      <c r="K37" s="16"/>
      <c r="L37" s="16"/>
      <c r="M37" s="16"/>
      <c r="N37" s="14"/>
      <c r="O37" s="15">
        <v>48</v>
      </c>
      <c r="P37" s="15">
        <v>46</v>
      </c>
      <c r="Q37" s="15">
        <v>44</v>
      </c>
      <c r="R37" s="15">
        <v>42</v>
      </c>
      <c r="S37" s="15">
        <v>40</v>
      </c>
      <c r="T37" s="15">
        <v>38</v>
      </c>
      <c r="U37" s="15"/>
      <c r="V37" s="15">
        <v>37</v>
      </c>
      <c r="W37" s="15">
        <v>39</v>
      </c>
      <c r="X37" s="15">
        <v>41</v>
      </c>
      <c r="Y37" s="15">
        <v>43</v>
      </c>
      <c r="Z37" s="15">
        <v>45</v>
      </c>
      <c r="AA37" s="15">
        <v>47</v>
      </c>
      <c r="AB37" s="15"/>
      <c r="AC37" s="11"/>
      <c r="AD37" s="14"/>
      <c r="AE37"/>
      <c r="AF37"/>
      <c r="AG37"/>
      <c r="AH37"/>
      <c r="AI37" s="15"/>
      <c r="AJ37" s="15"/>
      <c r="AK37" s="15"/>
      <c r="AL37" s="4"/>
    </row>
    <row r="38" spans="1:38" ht="15" customHeight="1" x14ac:dyDescent="0.3">
      <c r="A38" s="11"/>
      <c r="C38" s="11"/>
      <c r="D38" s="11"/>
      <c r="E38" s="16"/>
      <c r="F38" s="16"/>
      <c r="G38" s="16"/>
      <c r="H38" s="16"/>
      <c r="I38" s="16"/>
      <c r="J38" s="16"/>
      <c r="K38" s="16"/>
      <c r="L38" s="16"/>
      <c r="M38" s="16"/>
      <c r="N38" s="14"/>
      <c r="O38" s="15">
        <v>36</v>
      </c>
      <c r="P38" s="15">
        <v>34</v>
      </c>
      <c r="Q38" s="15">
        <v>32</v>
      </c>
      <c r="R38" s="15">
        <v>30</v>
      </c>
      <c r="S38" s="15">
        <v>28</v>
      </c>
      <c r="T38" s="15">
        <v>26</v>
      </c>
      <c r="U38" s="15"/>
      <c r="V38" s="15">
        <v>25</v>
      </c>
      <c r="W38" s="15">
        <v>27</v>
      </c>
      <c r="X38" s="15">
        <v>29</v>
      </c>
      <c r="Y38" s="15">
        <v>31</v>
      </c>
      <c r="Z38" s="15">
        <v>33</v>
      </c>
      <c r="AA38" s="15">
        <v>35</v>
      </c>
      <c r="AB38" s="15"/>
      <c r="AC38" s="11"/>
      <c r="AD38" s="14"/>
      <c r="AE38"/>
      <c r="AF38"/>
      <c r="AG38"/>
      <c r="AH38"/>
      <c r="AI38" s="15"/>
      <c r="AJ38" s="15"/>
      <c r="AK38" s="15"/>
      <c r="AL38" s="4"/>
    </row>
    <row r="39" spans="1:38" ht="15" customHeight="1" x14ac:dyDescent="0.3">
      <c r="A39" s="11"/>
      <c r="C39" s="11"/>
      <c r="D39" s="11"/>
      <c r="E39" s="16"/>
      <c r="F39" s="16"/>
      <c r="G39" s="16"/>
      <c r="H39" s="16"/>
      <c r="I39" s="16"/>
      <c r="J39" s="16"/>
      <c r="K39" s="16"/>
      <c r="L39" s="16"/>
      <c r="M39" s="16"/>
      <c r="N39" s="14"/>
      <c r="O39" s="15">
        <v>24</v>
      </c>
      <c r="P39" s="15">
        <v>22</v>
      </c>
      <c r="Q39" s="15">
        <v>20</v>
      </c>
      <c r="R39" s="15">
        <v>18</v>
      </c>
      <c r="S39" s="15">
        <v>16</v>
      </c>
      <c r="T39" s="15">
        <v>6</v>
      </c>
      <c r="U39" s="15"/>
      <c r="V39" s="15">
        <v>5</v>
      </c>
      <c r="W39" s="15">
        <v>15</v>
      </c>
      <c r="X39" s="15">
        <v>17</v>
      </c>
      <c r="Y39" s="15">
        <v>19</v>
      </c>
      <c r="Z39" s="15">
        <v>21</v>
      </c>
      <c r="AA39" s="15">
        <v>23</v>
      </c>
      <c r="AB39" s="15"/>
      <c r="AC39" s="11"/>
      <c r="AD39" s="14"/>
      <c r="AE39"/>
      <c r="AF39"/>
      <c r="AG39"/>
      <c r="AH39"/>
      <c r="AI39" s="15"/>
      <c r="AJ39" s="15"/>
      <c r="AK39" s="15"/>
      <c r="AL39" s="4"/>
    </row>
    <row r="40" spans="1:38" ht="15" customHeight="1" x14ac:dyDescent="0.3">
      <c r="A40" s="11"/>
      <c r="C40" s="11"/>
      <c r="D40" s="11"/>
      <c r="I40"/>
      <c r="J40"/>
      <c r="K40"/>
      <c r="L40"/>
      <c r="M40"/>
      <c r="N40" s="15"/>
      <c r="O40" s="15">
        <v>12</v>
      </c>
      <c r="P40" s="15">
        <v>10</v>
      </c>
      <c r="Q40" s="15">
        <v>8</v>
      </c>
      <c r="R40" s="15">
        <v>6</v>
      </c>
      <c r="S40" s="15">
        <v>4</v>
      </c>
      <c r="T40" s="15">
        <v>2</v>
      </c>
      <c r="U40" s="15"/>
      <c r="V40" s="15">
        <v>1</v>
      </c>
      <c r="W40" s="15">
        <v>3</v>
      </c>
      <c r="X40" s="15">
        <v>5</v>
      </c>
      <c r="Y40" s="15">
        <v>7</v>
      </c>
      <c r="Z40" s="15">
        <v>9</v>
      </c>
      <c r="AA40" s="15">
        <v>11</v>
      </c>
      <c r="AB40" s="15"/>
      <c r="AC40" s="11"/>
      <c r="AD40" s="15"/>
      <c r="AE40"/>
      <c r="AF40"/>
      <c r="AG40"/>
      <c r="AH40"/>
      <c r="AI40" s="15"/>
      <c r="AJ40" s="15"/>
      <c r="AK40" s="15"/>
      <c r="AL40" s="4"/>
    </row>
    <row r="41" spans="1:38" ht="15" customHeight="1" x14ac:dyDescent="0.3">
      <c r="A41" s="11"/>
      <c r="C41" s="11"/>
      <c r="D41" s="11"/>
      <c r="I41"/>
      <c r="J41"/>
      <c r="K41"/>
      <c r="L41"/>
      <c r="M41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1"/>
      <c r="AD41" s="18"/>
      <c r="AE41"/>
      <c r="AF41"/>
      <c r="AG41"/>
      <c r="AH41"/>
      <c r="AI41" s="4"/>
      <c r="AJ41" s="4"/>
      <c r="AK41" s="4"/>
      <c r="AL41" s="4"/>
    </row>
    <row r="42" spans="1:38" ht="15" customHeight="1" x14ac:dyDescent="0.3">
      <c r="B42" s="4"/>
      <c r="C42" s="4"/>
      <c r="D42" s="4"/>
      <c r="I42"/>
      <c r="J42"/>
      <c r="K42"/>
      <c r="L42"/>
      <c r="M42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1"/>
      <c r="AD42" s="18"/>
      <c r="AE42"/>
      <c r="AF42"/>
      <c r="AG42"/>
      <c r="AH42"/>
      <c r="AI42" s="4"/>
      <c r="AJ42" s="4"/>
      <c r="AK42" s="4"/>
      <c r="AL42" s="4"/>
    </row>
    <row r="43" spans="1:38" ht="15" customHeight="1" x14ac:dyDescent="0.3">
      <c r="C43" s="11"/>
      <c r="D43" s="11"/>
      <c r="I43"/>
      <c r="J43"/>
      <c r="K43"/>
      <c r="L43"/>
      <c r="M43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1"/>
      <c r="AD43" s="16"/>
      <c r="AE43"/>
      <c r="AF43"/>
      <c r="AG43"/>
      <c r="AH43"/>
      <c r="AI43" s="11"/>
      <c r="AJ43" s="11"/>
      <c r="AK43" s="11"/>
      <c r="AL43" s="11"/>
    </row>
    <row r="44" spans="1:38" ht="15" customHeight="1" x14ac:dyDescent="0.3">
      <c r="C44" s="11"/>
      <c r="D44" s="11"/>
      <c r="I44"/>
      <c r="J44"/>
      <c r="K44"/>
      <c r="L44"/>
      <c r="M44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1"/>
      <c r="AD44" s="16"/>
      <c r="AE44"/>
      <c r="AF44"/>
      <c r="AG44"/>
      <c r="AH44"/>
      <c r="AI44" s="11"/>
      <c r="AJ44" s="11"/>
      <c r="AK44" s="11"/>
      <c r="AL44" s="11"/>
    </row>
    <row r="45" spans="1:38" ht="15" customHeight="1" x14ac:dyDescent="0.3">
      <c r="C45" s="11"/>
      <c r="D45" s="11"/>
      <c r="I45"/>
      <c r="J45"/>
      <c r="K45"/>
      <c r="L45"/>
      <c r="M4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1"/>
      <c r="AD45" s="16"/>
      <c r="AE45"/>
      <c r="AF45"/>
      <c r="AG45"/>
      <c r="AH45"/>
      <c r="AI45" s="11"/>
      <c r="AJ45" s="11"/>
      <c r="AK45" s="11"/>
      <c r="AL45" s="11"/>
    </row>
    <row r="46" spans="1:38" ht="15" customHeight="1" x14ac:dyDescent="0.3">
      <c r="C46" s="11"/>
      <c r="D46" s="11"/>
      <c r="I46"/>
      <c r="J46"/>
      <c r="K46"/>
      <c r="L46"/>
      <c r="M46"/>
      <c r="AC46" s="11"/>
      <c r="AD46" s="16"/>
      <c r="AE46"/>
      <c r="AF46"/>
      <c r="AG46"/>
      <c r="AH46"/>
      <c r="AI46" s="11"/>
      <c r="AJ46" s="11"/>
      <c r="AK46" s="11"/>
      <c r="AL46" s="11"/>
    </row>
    <row r="47" spans="1:38" ht="15" customHeight="1" x14ac:dyDescent="0.3">
      <c r="C47" s="11"/>
      <c r="D47" s="11"/>
      <c r="I47"/>
      <c r="J47"/>
      <c r="K47"/>
      <c r="L47"/>
      <c r="M47"/>
      <c r="AC47" s="11"/>
      <c r="AD47" s="16"/>
      <c r="AE47"/>
      <c r="AF47"/>
      <c r="AG47"/>
      <c r="AH47"/>
      <c r="AI47" s="11"/>
      <c r="AJ47" s="11"/>
      <c r="AK47" s="11"/>
      <c r="AL47" s="11"/>
    </row>
    <row r="48" spans="1:38" ht="15" customHeight="1" x14ac:dyDescent="0.3">
      <c r="C48" s="11"/>
      <c r="D48" s="11"/>
      <c r="I48"/>
      <c r="J48"/>
      <c r="K48"/>
      <c r="L48"/>
      <c r="M48"/>
      <c r="AC48" s="11"/>
      <c r="AD48" s="16"/>
      <c r="AE48"/>
      <c r="AF48"/>
      <c r="AG48"/>
      <c r="AH48"/>
      <c r="AI48" s="11"/>
      <c r="AJ48" s="11"/>
      <c r="AK48" s="11"/>
      <c r="AL48" s="11"/>
    </row>
    <row r="49" spans="3:38" ht="15" customHeight="1" x14ac:dyDescent="0.3">
      <c r="C49" s="11"/>
      <c r="D49" s="11"/>
      <c r="I49"/>
      <c r="J49"/>
      <c r="K49"/>
      <c r="L49"/>
      <c r="M49"/>
      <c r="AC49" s="11"/>
      <c r="AD49" s="16"/>
      <c r="AE49"/>
      <c r="AF49"/>
      <c r="AG49"/>
      <c r="AH49"/>
      <c r="AI49" s="11"/>
      <c r="AJ49" s="11"/>
      <c r="AK49" s="11"/>
      <c r="AL49" s="11"/>
    </row>
    <row r="50" spans="3:38" ht="15" customHeight="1" x14ac:dyDescent="0.3">
      <c r="C50" s="11"/>
      <c r="D50" s="11"/>
      <c r="I50"/>
      <c r="J50"/>
      <c r="K50"/>
      <c r="L50"/>
      <c r="M50"/>
      <c r="AC50" s="11"/>
      <c r="AD50" s="16"/>
      <c r="AE50"/>
      <c r="AF50"/>
      <c r="AG50"/>
      <c r="AH50"/>
      <c r="AI50" s="11"/>
      <c r="AJ50" s="11"/>
      <c r="AK50" s="11"/>
      <c r="AL50" s="11"/>
    </row>
    <row r="51" spans="3:38" ht="15" customHeight="1" x14ac:dyDescent="0.3">
      <c r="C51" s="11"/>
      <c r="D51" s="11"/>
      <c r="I51"/>
      <c r="J51"/>
      <c r="K51"/>
      <c r="L51"/>
      <c r="M51"/>
      <c r="AC51" s="11"/>
      <c r="AD51" s="16"/>
      <c r="AE51"/>
      <c r="AF51"/>
      <c r="AG51"/>
      <c r="AH51"/>
      <c r="AI51" s="11"/>
      <c r="AJ51" s="11"/>
      <c r="AK51" s="11"/>
      <c r="AL51" s="11"/>
    </row>
    <row r="52" spans="3:38" ht="15" customHeight="1" x14ac:dyDescent="0.3">
      <c r="C52" s="11"/>
      <c r="D52" s="11"/>
      <c r="I52"/>
      <c r="J52"/>
      <c r="K52"/>
      <c r="L52"/>
      <c r="M52"/>
      <c r="AC52" s="11"/>
      <c r="AD52" s="16"/>
      <c r="AE52"/>
      <c r="AF52"/>
      <c r="AG52"/>
      <c r="AH52"/>
      <c r="AI52" s="11"/>
      <c r="AJ52" s="11"/>
      <c r="AK52" s="11"/>
      <c r="AL52" s="11"/>
    </row>
    <row r="53" spans="3:38" ht="15" customHeight="1" x14ac:dyDescent="0.3">
      <c r="C53" s="11"/>
      <c r="D53" s="11"/>
      <c r="I53"/>
      <c r="J53"/>
      <c r="K53"/>
      <c r="L53"/>
      <c r="M53"/>
      <c r="AC53" s="11"/>
      <c r="AD53" s="16"/>
      <c r="AE53"/>
      <c r="AF53"/>
      <c r="AG53"/>
      <c r="AH53"/>
      <c r="AI53" s="11"/>
      <c r="AJ53" s="11"/>
      <c r="AK53" s="11"/>
      <c r="AL53" s="11"/>
    </row>
    <row r="54" spans="3:38" ht="15" customHeight="1" x14ac:dyDescent="0.3">
      <c r="C54" s="11"/>
      <c r="D54" s="11"/>
      <c r="I54"/>
      <c r="J54"/>
      <c r="K54"/>
      <c r="L54"/>
      <c r="M54"/>
      <c r="AC54" s="11"/>
      <c r="AD54" s="16"/>
      <c r="AE54"/>
      <c r="AF54"/>
      <c r="AG54"/>
      <c r="AH54"/>
      <c r="AI54" s="11"/>
      <c r="AJ54" s="11"/>
      <c r="AK54" s="11"/>
      <c r="AL54" s="11"/>
    </row>
    <row r="55" spans="3:38" ht="15" customHeight="1" x14ac:dyDescent="0.3">
      <c r="C55" s="11"/>
      <c r="D55" s="11"/>
      <c r="I55"/>
      <c r="J55"/>
      <c r="K55"/>
      <c r="L55"/>
      <c r="M55"/>
      <c r="AC55" s="11"/>
      <c r="AD55" s="16"/>
      <c r="AE55"/>
      <c r="AF55"/>
      <c r="AG55"/>
      <c r="AH55"/>
      <c r="AI55" s="11"/>
      <c r="AJ55" s="11"/>
      <c r="AK55" s="11"/>
      <c r="AL55" s="11"/>
    </row>
    <row r="56" spans="3:38" ht="15" customHeight="1" x14ac:dyDescent="0.3">
      <c r="C56" s="11"/>
      <c r="D56" s="11"/>
      <c r="I56"/>
      <c r="J56"/>
      <c r="K56"/>
      <c r="L56"/>
      <c r="M56"/>
      <c r="AC56" s="11"/>
      <c r="AD56" s="16"/>
      <c r="AE56"/>
      <c r="AF56"/>
      <c r="AG56"/>
      <c r="AH56"/>
      <c r="AI56" s="11"/>
      <c r="AJ56" s="11"/>
      <c r="AK56" s="11"/>
      <c r="AL56" s="11"/>
    </row>
    <row r="57" spans="3:38" ht="15" customHeight="1" x14ac:dyDescent="0.3">
      <c r="C57" s="11"/>
      <c r="D57" s="11"/>
      <c r="I57"/>
      <c r="J57"/>
      <c r="K57"/>
      <c r="L57"/>
      <c r="M57"/>
      <c r="AC57" s="11"/>
      <c r="AD57" s="16"/>
      <c r="AE57"/>
      <c r="AF57"/>
      <c r="AG57"/>
      <c r="AH57"/>
      <c r="AI57" s="11"/>
      <c r="AJ57" s="11"/>
      <c r="AK57" s="11"/>
      <c r="AL57" s="11"/>
    </row>
    <row r="58" spans="3:38" ht="15" customHeight="1" x14ac:dyDescent="0.3">
      <c r="C58" s="11"/>
      <c r="D58" s="11"/>
      <c r="I58"/>
      <c r="J58"/>
      <c r="K58"/>
      <c r="L58"/>
      <c r="M58"/>
      <c r="AC58" s="11"/>
      <c r="AD58" s="16"/>
      <c r="AE58"/>
      <c r="AF58"/>
      <c r="AG58"/>
      <c r="AH58"/>
      <c r="AI58" s="11"/>
      <c r="AJ58" s="11"/>
      <c r="AK58" s="11"/>
      <c r="AL58" s="11"/>
    </row>
    <row r="59" spans="3:38" ht="15" customHeight="1" x14ac:dyDescent="0.3">
      <c r="C59" s="11"/>
      <c r="D59" s="11"/>
      <c r="I59"/>
      <c r="J59"/>
      <c r="K59"/>
      <c r="L59"/>
      <c r="M59"/>
      <c r="AC59" s="11"/>
      <c r="AD59" s="16"/>
      <c r="AE59"/>
      <c r="AF59"/>
      <c r="AG59"/>
      <c r="AH59"/>
      <c r="AI59" s="11"/>
      <c r="AJ59" s="11"/>
      <c r="AK59" s="11"/>
      <c r="AL59" s="11"/>
    </row>
    <row r="60" spans="3:38" ht="15" customHeight="1" x14ac:dyDescent="0.3">
      <c r="C60" s="11"/>
      <c r="D60" s="11"/>
      <c r="I60"/>
      <c r="J60"/>
      <c r="K60"/>
      <c r="L60"/>
      <c r="M60"/>
      <c r="AC60" s="11"/>
      <c r="AD60" s="16"/>
      <c r="AE60"/>
      <c r="AF60"/>
      <c r="AG60"/>
      <c r="AH60"/>
      <c r="AI60" s="11"/>
      <c r="AJ60" s="11"/>
      <c r="AK60" s="11"/>
      <c r="AL60" s="11"/>
    </row>
    <row r="61" spans="3:38" ht="15" customHeight="1" x14ac:dyDescent="0.3">
      <c r="C61" s="11"/>
      <c r="D61" s="11"/>
      <c r="I61"/>
      <c r="J61"/>
      <c r="K61"/>
      <c r="L61"/>
      <c r="M61"/>
      <c r="AD61"/>
      <c r="AE61"/>
      <c r="AF61"/>
      <c r="AG61"/>
      <c r="AH61"/>
    </row>
    <row r="62" spans="3:38" ht="15" customHeight="1" x14ac:dyDescent="0.3">
      <c r="C62" s="11"/>
      <c r="D62" s="11"/>
      <c r="I62"/>
      <c r="J62"/>
      <c r="K62"/>
      <c r="L62"/>
      <c r="M62"/>
      <c r="AD62"/>
      <c r="AE62"/>
      <c r="AF62"/>
      <c r="AG62"/>
      <c r="AH62"/>
    </row>
    <row r="63" spans="3:38" ht="15" customHeight="1" x14ac:dyDescent="0.3">
      <c r="C63" s="11"/>
      <c r="D63" s="11"/>
      <c r="I63"/>
      <c r="J63"/>
      <c r="K63"/>
      <c r="L63"/>
      <c r="M63"/>
      <c r="AD63"/>
      <c r="AE63"/>
      <c r="AF63"/>
      <c r="AG63"/>
      <c r="AH63"/>
    </row>
    <row r="64" spans="3:38" ht="15" customHeight="1" x14ac:dyDescent="0.3">
      <c r="C64" s="11"/>
      <c r="D64" s="11"/>
      <c r="I64"/>
      <c r="J64"/>
      <c r="K64"/>
      <c r="L64"/>
      <c r="M64"/>
      <c r="AD64"/>
      <c r="AE64"/>
      <c r="AF64"/>
      <c r="AG64"/>
      <c r="AH64"/>
    </row>
    <row r="65" spans="3:34" ht="15" customHeight="1" x14ac:dyDescent="0.3">
      <c r="C65" s="11"/>
      <c r="D65" s="11"/>
      <c r="I65"/>
      <c r="J65"/>
      <c r="K65"/>
      <c r="L65"/>
      <c r="M65"/>
      <c r="AD65"/>
      <c r="AE65"/>
      <c r="AF65"/>
      <c r="AG65"/>
      <c r="AH65"/>
    </row>
    <row r="66" spans="3:34" ht="15" customHeight="1" x14ac:dyDescent="0.3">
      <c r="C66" s="11"/>
      <c r="D66" s="11"/>
      <c r="I66"/>
      <c r="J66"/>
      <c r="K66"/>
      <c r="L66"/>
      <c r="M66"/>
      <c r="AD66"/>
      <c r="AE66"/>
      <c r="AF66"/>
      <c r="AG66"/>
      <c r="AH66"/>
    </row>
    <row r="67" spans="3:34" ht="15" customHeight="1" x14ac:dyDescent="0.3">
      <c r="C67" s="11"/>
      <c r="D67" s="11"/>
      <c r="I67"/>
      <c r="J67"/>
      <c r="K67"/>
      <c r="L67"/>
      <c r="M67"/>
      <c r="AD67"/>
      <c r="AE67"/>
      <c r="AF67"/>
      <c r="AG67"/>
      <c r="AH67"/>
    </row>
    <row r="68" spans="3:34" ht="15" customHeight="1" x14ac:dyDescent="0.3">
      <c r="C68" s="11"/>
      <c r="D68" s="11"/>
      <c r="I68"/>
      <c r="J68"/>
      <c r="K68"/>
      <c r="L68"/>
      <c r="M68"/>
      <c r="AD68"/>
      <c r="AE68"/>
      <c r="AF68"/>
      <c r="AG68"/>
      <c r="AH68"/>
    </row>
    <row r="69" spans="3:34" ht="15" customHeight="1" x14ac:dyDescent="0.3">
      <c r="C69" s="11"/>
      <c r="D69" s="11"/>
      <c r="I69"/>
      <c r="J69"/>
      <c r="K69"/>
      <c r="L69"/>
      <c r="M69"/>
      <c r="AD69"/>
      <c r="AE69"/>
      <c r="AF69"/>
      <c r="AG69"/>
      <c r="AH69"/>
    </row>
    <row r="70" spans="3:34" ht="15" customHeight="1" x14ac:dyDescent="0.3">
      <c r="C70" s="11"/>
      <c r="D70" s="11"/>
      <c r="I70"/>
      <c r="J70"/>
      <c r="K70"/>
      <c r="L70"/>
      <c r="M70"/>
      <c r="AD70"/>
      <c r="AE70"/>
      <c r="AF70"/>
      <c r="AG70"/>
      <c r="AH70"/>
    </row>
    <row r="71" spans="3:34" ht="15" customHeight="1" x14ac:dyDescent="0.3">
      <c r="C71" s="11"/>
      <c r="D71" s="11"/>
      <c r="I71"/>
      <c r="J71"/>
      <c r="K71"/>
      <c r="L71"/>
      <c r="M71"/>
      <c r="AD71"/>
      <c r="AE71"/>
      <c r="AF71"/>
      <c r="AG71"/>
      <c r="AH71"/>
    </row>
    <row r="72" spans="3:34" ht="15" customHeight="1" x14ac:dyDescent="0.3">
      <c r="C72" s="11"/>
      <c r="D72" s="11"/>
      <c r="I72"/>
      <c r="J72"/>
      <c r="K72"/>
      <c r="L72"/>
      <c r="M72"/>
      <c r="AD72"/>
      <c r="AE72"/>
      <c r="AF72"/>
      <c r="AG72"/>
      <c r="AH72"/>
    </row>
    <row r="73" spans="3:34" ht="15" customHeight="1" x14ac:dyDescent="0.3">
      <c r="I73"/>
      <c r="J73"/>
      <c r="K73"/>
      <c r="L73"/>
      <c r="M73"/>
      <c r="AD73"/>
      <c r="AE73"/>
      <c r="AF73"/>
      <c r="AG73"/>
      <c r="AH73"/>
    </row>
    <row r="74" spans="3:34" ht="15" customHeight="1" x14ac:dyDescent="0.3">
      <c r="I74"/>
      <c r="J74"/>
      <c r="K74"/>
      <c r="L74"/>
      <c r="M74"/>
      <c r="AD74"/>
      <c r="AE74"/>
      <c r="AF74"/>
      <c r="AG74"/>
      <c r="AH74"/>
    </row>
    <row r="75" spans="3:34" ht="15" customHeight="1" x14ac:dyDescent="0.3">
      <c r="I75"/>
      <c r="J75"/>
      <c r="K75"/>
      <c r="L75"/>
      <c r="M75"/>
      <c r="AD75"/>
      <c r="AE75"/>
      <c r="AF75"/>
      <c r="AG75"/>
      <c r="AH75"/>
    </row>
    <row r="76" spans="3:34" ht="15" customHeight="1" x14ac:dyDescent="0.3">
      <c r="I76"/>
      <c r="J76"/>
      <c r="K76"/>
      <c r="L76"/>
      <c r="M76"/>
      <c r="AD76"/>
      <c r="AE76"/>
      <c r="AF76"/>
      <c r="AG76"/>
      <c r="AH76"/>
    </row>
    <row r="77" spans="3:34" ht="15" customHeight="1" x14ac:dyDescent="0.3">
      <c r="I77"/>
      <c r="J77"/>
      <c r="K77"/>
      <c r="L77"/>
      <c r="M77"/>
      <c r="AD77"/>
      <c r="AE77"/>
      <c r="AF77"/>
      <c r="AG77"/>
      <c r="AH77"/>
    </row>
    <row r="78" spans="3:34" ht="15" customHeight="1" x14ac:dyDescent="0.3">
      <c r="I78"/>
      <c r="J78"/>
      <c r="K78"/>
      <c r="L78"/>
      <c r="M78"/>
      <c r="AD78"/>
      <c r="AE78"/>
      <c r="AF78"/>
      <c r="AG78"/>
      <c r="AH78"/>
    </row>
    <row r="79" spans="3:34" ht="15" customHeight="1" x14ac:dyDescent="0.3">
      <c r="I79"/>
      <c r="J79"/>
      <c r="K79"/>
      <c r="L79"/>
      <c r="M79"/>
      <c r="AD79"/>
      <c r="AE79"/>
      <c r="AF79"/>
      <c r="AG79"/>
      <c r="AH79"/>
    </row>
    <row r="80" spans="3:34" ht="15" customHeight="1" x14ac:dyDescent="0.3">
      <c r="I80"/>
      <c r="J80"/>
      <c r="K80"/>
      <c r="L80"/>
      <c r="M80"/>
      <c r="AD80"/>
      <c r="AE80"/>
      <c r="AF80"/>
      <c r="AG80"/>
      <c r="AH80"/>
    </row>
    <row r="81" spans="9:34" ht="15" customHeight="1" x14ac:dyDescent="0.3">
      <c r="I81"/>
      <c r="J81"/>
      <c r="K81"/>
      <c r="L81"/>
      <c r="M81"/>
      <c r="AD81"/>
      <c r="AE81"/>
      <c r="AF81"/>
      <c r="AG81"/>
      <c r="AH81"/>
    </row>
    <row r="82" spans="9:34" ht="15" customHeight="1" x14ac:dyDescent="0.3">
      <c r="I82"/>
      <c r="J82"/>
      <c r="K82"/>
      <c r="L82"/>
      <c r="M82"/>
      <c r="AD82"/>
      <c r="AE82"/>
      <c r="AF82"/>
      <c r="AG82"/>
      <c r="AH82"/>
    </row>
    <row r="83" spans="9:34" ht="15" customHeight="1" x14ac:dyDescent="0.3">
      <c r="I83"/>
      <c r="J83"/>
      <c r="K83"/>
      <c r="L83"/>
      <c r="M83"/>
      <c r="AD83"/>
      <c r="AE83"/>
      <c r="AF83"/>
      <c r="AG83"/>
      <c r="AH83"/>
    </row>
    <row r="84" spans="9:34" ht="15" customHeight="1" x14ac:dyDescent="0.3">
      <c r="I84"/>
      <c r="J84"/>
      <c r="K84"/>
      <c r="L84"/>
      <c r="M84"/>
      <c r="AD84"/>
      <c r="AE84"/>
      <c r="AF84"/>
      <c r="AG84"/>
      <c r="AH84"/>
    </row>
    <row r="85" spans="9:34" ht="15" customHeight="1" x14ac:dyDescent="0.3">
      <c r="I85"/>
      <c r="J85"/>
      <c r="K85"/>
      <c r="L85"/>
      <c r="M85"/>
      <c r="AD85"/>
      <c r="AE85"/>
      <c r="AF85"/>
      <c r="AG85"/>
      <c r="AH85"/>
    </row>
    <row r="86" spans="9:34" ht="15" customHeight="1" x14ac:dyDescent="0.3">
      <c r="I86"/>
      <c r="J86"/>
      <c r="K86"/>
      <c r="L86"/>
      <c r="M86"/>
      <c r="AD86"/>
      <c r="AE86"/>
      <c r="AF86"/>
      <c r="AG86"/>
      <c r="AH86"/>
    </row>
    <row r="87" spans="9:34" ht="15" customHeight="1" x14ac:dyDescent="0.3">
      <c r="I87"/>
      <c r="J87"/>
      <c r="K87"/>
      <c r="L87"/>
      <c r="M87"/>
      <c r="AD87"/>
      <c r="AE87"/>
      <c r="AF87"/>
      <c r="AG87"/>
      <c r="AH87"/>
    </row>
    <row r="88" spans="9:34" ht="15" customHeight="1" x14ac:dyDescent="0.3">
      <c r="I88"/>
      <c r="J88"/>
      <c r="K88"/>
      <c r="L88"/>
      <c r="M88"/>
      <c r="AD88"/>
      <c r="AE88"/>
      <c r="AF88"/>
      <c r="AG88"/>
      <c r="AH88"/>
    </row>
    <row r="89" spans="9:34" ht="15" customHeight="1" x14ac:dyDescent="0.3">
      <c r="I89"/>
      <c r="J89"/>
      <c r="K89"/>
      <c r="L89"/>
      <c r="M89"/>
      <c r="AD89"/>
      <c r="AE89"/>
      <c r="AF89"/>
      <c r="AG89"/>
      <c r="AH89"/>
    </row>
    <row r="90" spans="9:34" ht="15" customHeight="1" x14ac:dyDescent="0.3">
      <c r="I90"/>
      <c r="J90"/>
      <c r="K90"/>
      <c r="L90"/>
      <c r="M90"/>
      <c r="N90" s="5"/>
      <c r="O90" s="10"/>
      <c r="P90" s="10"/>
      <c r="Q90" s="10"/>
      <c r="AD90"/>
      <c r="AE90"/>
      <c r="AF90"/>
      <c r="AG90"/>
      <c r="AH90"/>
    </row>
    <row r="91" spans="9:34" ht="15" customHeight="1" x14ac:dyDescent="0.3">
      <c r="I91"/>
      <c r="J91"/>
      <c r="K91"/>
      <c r="L91"/>
      <c r="M91"/>
      <c r="N91" s="5"/>
      <c r="O91" s="10"/>
      <c r="P91" s="10"/>
      <c r="Q91" s="10"/>
      <c r="AD91"/>
      <c r="AE91"/>
      <c r="AF91"/>
      <c r="AG91"/>
      <c r="AH91"/>
    </row>
    <row r="92" spans="9:34" ht="15" customHeight="1" x14ac:dyDescent="0.3">
      <c r="I92"/>
      <c r="J92"/>
      <c r="K92"/>
      <c r="L92"/>
      <c r="M92"/>
      <c r="N92" s="5"/>
      <c r="O92" s="10"/>
      <c r="P92" s="10"/>
      <c r="Q92" s="10"/>
      <c r="AD92"/>
      <c r="AE92"/>
      <c r="AF92"/>
      <c r="AG92"/>
      <c r="AH92"/>
    </row>
    <row r="93" spans="9:34" ht="15" customHeight="1" x14ac:dyDescent="0.3">
      <c r="I93"/>
      <c r="J93"/>
      <c r="K93"/>
      <c r="L93"/>
      <c r="M93"/>
      <c r="N93" s="5"/>
      <c r="O93" s="10"/>
      <c r="P93" s="10"/>
      <c r="Q93" s="10"/>
      <c r="AD93"/>
      <c r="AE93"/>
      <c r="AF93"/>
      <c r="AG93"/>
      <c r="AH93"/>
    </row>
    <row r="94" spans="9:34" ht="15" customHeight="1" x14ac:dyDescent="0.3">
      <c r="I94"/>
      <c r="J94"/>
      <c r="K94"/>
      <c r="L94"/>
      <c r="M94"/>
      <c r="N94" s="5"/>
      <c r="O94" s="10"/>
      <c r="P94" s="10"/>
      <c r="Q94" s="10"/>
      <c r="AD94"/>
      <c r="AE94"/>
      <c r="AF94"/>
      <c r="AG94"/>
      <c r="AH94"/>
    </row>
    <row r="95" spans="9:34" ht="15" customHeight="1" x14ac:dyDescent="0.3">
      <c r="I95"/>
      <c r="J95"/>
      <c r="K95"/>
      <c r="L95"/>
      <c r="M95"/>
      <c r="N95" s="5"/>
      <c r="O95" s="10"/>
      <c r="P95" s="10"/>
      <c r="Q95" s="10"/>
      <c r="AD95"/>
      <c r="AE95"/>
      <c r="AF95"/>
      <c r="AG95"/>
      <c r="AH95"/>
    </row>
    <row r="96" spans="9:34" ht="15" customHeight="1" x14ac:dyDescent="0.3">
      <c r="I96"/>
      <c r="J96"/>
      <c r="K96"/>
      <c r="L96"/>
      <c r="M96"/>
      <c r="N96" s="5"/>
      <c r="O96" s="10"/>
      <c r="P96" s="10"/>
      <c r="Q96" s="10"/>
      <c r="AD96"/>
      <c r="AE96"/>
      <c r="AF96"/>
      <c r="AG96"/>
      <c r="AH96"/>
    </row>
    <row r="97" spans="9:34" ht="15" customHeight="1" x14ac:dyDescent="0.3">
      <c r="I97"/>
      <c r="J97"/>
      <c r="K97"/>
      <c r="L97"/>
      <c r="M97"/>
      <c r="N97" s="5"/>
      <c r="O97" s="10"/>
      <c r="P97" s="10"/>
      <c r="Q97" s="10"/>
      <c r="AD97"/>
      <c r="AE97"/>
      <c r="AF97"/>
      <c r="AG97"/>
      <c r="AH97"/>
    </row>
    <row r="98" spans="9:34" ht="15" customHeight="1" x14ac:dyDescent="0.3">
      <c r="I98"/>
      <c r="J98"/>
      <c r="K98"/>
      <c r="L98"/>
      <c r="M98"/>
      <c r="N98" s="5"/>
      <c r="O98" s="10"/>
      <c r="P98" s="10"/>
      <c r="Q98" s="10"/>
      <c r="AD98"/>
      <c r="AE98"/>
      <c r="AF98"/>
      <c r="AG98"/>
      <c r="AH98"/>
    </row>
    <row r="99" spans="9:34" ht="15" customHeight="1" x14ac:dyDescent="0.3">
      <c r="I99"/>
      <c r="J99"/>
      <c r="K99"/>
      <c r="L99"/>
      <c r="M99"/>
      <c r="N99" s="5"/>
      <c r="O99" s="10"/>
      <c r="P99" s="10"/>
      <c r="Q99" s="10"/>
      <c r="AD99"/>
      <c r="AE99"/>
      <c r="AF99"/>
      <c r="AG99"/>
      <c r="AH99"/>
    </row>
    <row r="100" spans="9:34" ht="15" customHeight="1" x14ac:dyDescent="0.3">
      <c r="I100"/>
      <c r="J100"/>
      <c r="K100"/>
      <c r="L100"/>
      <c r="M100"/>
      <c r="N100" s="13"/>
      <c r="O100" s="13"/>
      <c r="P100" s="10"/>
      <c r="Q100" s="10"/>
      <c r="AD100"/>
    </row>
    <row r="101" spans="9:34" ht="15" customHeight="1" x14ac:dyDescent="0.3">
      <c r="K101" s="5"/>
      <c r="L101" s="5"/>
      <c r="M101" s="5"/>
      <c r="N101" s="14"/>
      <c r="O101" s="14"/>
      <c r="P101" s="10"/>
      <c r="Q101" s="10"/>
    </row>
    <row r="102" spans="9:34" ht="15" customHeight="1" x14ac:dyDescent="0.3">
      <c r="K102" s="5"/>
      <c r="L102" s="5"/>
      <c r="M102" s="14"/>
      <c r="N102" s="14"/>
      <c r="O102" s="14"/>
      <c r="P102" s="10"/>
      <c r="Q102" s="10"/>
    </row>
    <row r="103" spans="9:34" ht="15" customHeight="1" x14ac:dyDescent="0.3">
      <c r="K103" s="5"/>
      <c r="L103" s="5"/>
      <c r="M103" s="14"/>
      <c r="N103" s="14"/>
      <c r="O103" s="14"/>
      <c r="P103" s="10"/>
      <c r="Q103" s="10"/>
    </row>
    <row r="104" spans="9:34" ht="15" customHeight="1" x14ac:dyDescent="0.3">
      <c r="K104" s="5"/>
      <c r="L104" s="5"/>
      <c r="M104" s="14"/>
      <c r="N104" s="14"/>
      <c r="O104" s="14"/>
      <c r="P104" s="10"/>
      <c r="Q104" s="10"/>
    </row>
    <row r="105" spans="9:34" ht="15" customHeight="1" x14ac:dyDescent="0.3">
      <c r="K105" s="5"/>
      <c r="L105" s="5"/>
      <c r="M105" s="14"/>
      <c r="N105" s="14"/>
      <c r="O105" s="14"/>
      <c r="P105" s="10"/>
      <c r="Q105" s="10"/>
    </row>
    <row r="106" spans="9:34" ht="15" customHeight="1" x14ac:dyDescent="0.3">
      <c r="K106" s="5"/>
      <c r="L106" s="5"/>
      <c r="M106" s="14"/>
      <c r="N106" s="14"/>
      <c r="O106" s="14"/>
      <c r="P106" s="10"/>
      <c r="Q106" s="10"/>
    </row>
    <row r="107" spans="9:34" ht="15" customHeight="1" x14ac:dyDescent="0.3">
      <c r="K107" s="5"/>
      <c r="L107" s="5"/>
      <c r="M107" s="14"/>
      <c r="N107" s="14"/>
      <c r="O107" s="14"/>
      <c r="P107" s="10"/>
      <c r="Q107" s="10"/>
    </row>
    <row r="108" spans="9:34" ht="15" customHeight="1" x14ac:dyDescent="0.3">
      <c r="K108" s="5"/>
      <c r="L108" s="5"/>
      <c r="M108" s="14"/>
      <c r="N108" s="14"/>
      <c r="O108" s="14"/>
      <c r="P108" s="10"/>
      <c r="Q108" s="10"/>
    </row>
    <row r="109" spans="9:34" ht="15" customHeight="1" x14ac:dyDescent="0.3">
      <c r="K109" s="5"/>
      <c r="L109" s="5"/>
      <c r="M109" s="14"/>
      <c r="N109" s="14"/>
      <c r="O109" s="14"/>
      <c r="P109" s="10"/>
      <c r="Q109" s="10"/>
    </row>
    <row r="110" spans="9:34" ht="15" customHeight="1" x14ac:dyDescent="0.3">
      <c r="K110" s="5"/>
      <c r="L110" s="5"/>
      <c r="M110" s="14"/>
      <c r="N110" s="14"/>
      <c r="O110" s="14"/>
      <c r="P110" s="10"/>
      <c r="Q110" s="10"/>
    </row>
    <row r="111" spans="9:34" ht="15" customHeight="1" x14ac:dyDescent="0.3">
      <c r="K111" s="5"/>
      <c r="L111" s="5"/>
      <c r="M111" s="14"/>
      <c r="N111" s="14"/>
      <c r="O111" s="14"/>
      <c r="P111" s="10"/>
      <c r="Q111" s="10"/>
    </row>
    <row r="112" spans="9:34" ht="15" customHeight="1" x14ac:dyDescent="0.3">
      <c r="K112" s="5"/>
      <c r="L112" s="5"/>
      <c r="M112" s="5"/>
      <c r="N112" s="14"/>
      <c r="O112" s="14"/>
      <c r="P112" s="10"/>
      <c r="Q112" s="10"/>
    </row>
    <row r="113" spans="11:17" ht="15" customHeight="1" x14ac:dyDescent="0.3">
      <c r="K113" s="5"/>
      <c r="L113" s="5"/>
      <c r="M113" s="5"/>
      <c r="N113" s="5"/>
      <c r="O113" s="10"/>
      <c r="P113" s="10"/>
      <c r="Q113" s="10"/>
    </row>
    <row r="114" spans="11:17" ht="15" customHeight="1" x14ac:dyDescent="0.3">
      <c r="K114" s="5"/>
      <c r="L114" s="5"/>
      <c r="M114" s="5"/>
      <c r="N114" s="5"/>
      <c r="O114" s="10"/>
      <c r="P114" s="10"/>
      <c r="Q114" s="10"/>
    </row>
    <row r="115" spans="11:17" ht="15" customHeight="1" x14ac:dyDescent="0.3">
      <c r="K115" s="5"/>
      <c r="L115" s="5"/>
      <c r="M115" s="5"/>
      <c r="N115" s="5"/>
      <c r="O115" s="10"/>
      <c r="P115" s="10"/>
      <c r="Q115" s="10"/>
    </row>
    <row r="186" spans="31:33" ht="15" customHeight="1" x14ac:dyDescent="0.3">
      <c r="AE186" s="2" t="s">
        <v>16</v>
      </c>
      <c r="AF186" s="2" t="s">
        <v>17</v>
      </c>
      <c r="AG186" s="2" t="s">
        <v>35</v>
      </c>
    </row>
    <row r="249" spans="31:33" ht="15" customHeight="1" x14ac:dyDescent="0.3">
      <c r="AE249" s="2" t="s">
        <v>16</v>
      </c>
      <c r="AF249" s="2" t="s">
        <v>17</v>
      </c>
      <c r="AG249" s="2" t="s">
        <v>35</v>
      </c>
    </row>
    <row r="306" spans="31:33" ht="15" customHeight="1" x14ac:dyDescent="0.3">
      <c r="AE306" s="2" t="s">
        <v>16</v>
      </c>
      <c r="AF306" s="2" t="s">
        <v>17</v>
      </c>
      <c r="AG306" s="2" t="s">
        <v>35</v>
      </c>
    </row>
    <row r="366" spans="31:33" ht="15" customHeight="1" x14ac:dyDescent="0.3">
      <c r="AE366" s="2" t="s">
        <v>16</v>
      </c>
      <c r="AF366" s="2" t="s">
        <v>17</v>
      </c>
      <c r="AG366" s="2" t="s">
        <v>35</v>
      </c>
    </row>
    <row r="429" spans="31:33" ht="15" customHeight="1" x14ac:dyDescent="0.3">
      <c r="AE429" s="2" t="s">
        <v>20</v>
      </c>
      <c r="AF429" s="2" t="s">
        <v>15</v>
      </c>
      <c r="AG429" s="2" t="s">
        <v>35</v>
      </c>
    </row>
    <row r="486" spans="31:33" ht="15" customHeight="1" x14ac:dyDescent="0.3">
      <c r="AE486" s="2" t="s">
        <v>19</v>
      </c>
      <c r="AF486" s="2" t="s">
        <v>15</v>
      </c>
      <c r="AG486" s="2" t="s">
        <v>35</v>
      </c>
    </row>
    <row r="549" spans="31:33" ht="15" customHeight="1" x14ac:dyDescent="0.3">
      <c r="AE549" s="2" t="s">
        <v>19</v>
      </c>
      <c r="AF549" s="2" t="s">
        <v>15</v>
      </c>
      <c r="AG549" s="2" t="s">
        <v>35</v>
      </c>
    </row>
    <row r="612" spans="31:33" ht="15" customHeight="1" x14ac:dyDescent="0.3">
      <c r="AE612" s="2" t="s">
        <v>19</v>
      </c>
      <c r="AF612" s="2" t="s">
        <v>15</v>
      </c>
      <c r="AG612" s="2" t="s">
        <v>35</v>
      </c>
    </row>
    <row r="675" spans="31:33" ht="15" customHeight="1" x14ac:dyDescent="0.3">
      <c r="AE675" s="2" t="s">
        <v>19</v>
      </c>
      <c r="AF675" s="2" t="s">
        <v>15</v>
      </c>
      <c r="AG675" s="2" t="s">
        <v>35</v>
      </c>
    </row>
    <row r="738" spans="31:33" ht="15" customHeight="1" x14ac:dyDescent="0.3">
      <c r="AE738" s="2" t="s">
        <v>14</v>
      </c>
      <c r="AF738" s="2" t="s">
        <v>15</v>
      </c>
      <c r="AG738" s="2" t="s">
        <v>35</v>
      </c>
    </row>
    <row r="753" spans="31:34" ht="15" customHeight="1" x14ac:dyDescent="0.3">
      <c r="AE753"/>
      <c r="AF753"/>
      <c r="AG753"/>
    </row>
    <row r="754" spans="31:34" ht="15" customHeight="1" x14ac:dyDescent="0.3">
      <c r="AE754"/>
      <c r="AF754"/>
      <c r="AG754"/>
    </row>
    <row r="755" spans="31:34" ht="15" customHeight="1" x14ac:dyDescent="0.3">
      <c r="AE755"/>
      <c r="AF755"/>
      <c r="AG755"/>
    </row>
    <row r="758" spans="31:34" ht="15" customHeight="1" x14ac:dyDescent="0.3">
      <c r="AH758"/>
    </row>
    <row r="759" spans="31:34" ht="15" customHeight="1" x14ac:dyDescent="0.3">
      <c r="AH759"/>
    </row>
    <row r="760" spans="31:34" ht="15" customHeight="1" x14ac:dyDescent="0.3">
      <c r="AH760"/>
    </row>
    <row r="801" spans="24:34" ht="15" customHeight="1" x14ac:dyDescent="0.3">
      <c r="AE801" s="2" t="s">
        <v>13</v>
      </c>
      <c r="AF801" s="2" t="s">
        <v>7</v>
      </c>
      <c r="AG801" s="2" t="s">
        <v>35</v>
      </c>
    </row>
    <row r="815" spans="24:34" ht="15" customHeight="1" x14ac:dyDescent="0.3">
      <c r="X815"/>
    </row>
    <row r="816" spans="24:34" customFormat="1" ht="15" customHeight="1" x14ac:dyDescent="0.3">
      <c r="AE816" s="2"/>
      <c r="AF816" s="2"/>
      <c r="AG816" s="2"/>
      <c r="AH816" s="2"/>
    </row>
    <row r="817" spans="24:34" customFormat="1" ht="15" customHeight="1" x14ac:dyDescent="0.3">
      <c r="AE817" s="2"/>
      <c r="AF817" s="2"/>
      <c r="AG817" s="2"/>
      <c r="AH817" s="2"/>
    </row>
    <row r="818" spans="24:34" customFormat="1" ht="15" customHeight="1" x14ac:dyDescent="0.3">
      <c r="X818" s="2"/>
      <c r="AE818" s="2"/>
      <c r="AF818" s="2"/>
      <c r="AG818" s="2"/>
      <c r="AH818" s="2"/>
    </row>
    <row r="864" spans="31:33" ht="15" customHeight="1" x14ac:dyDescent="0.3">
      <c r="AE864" s="2" t="s">
        <v>13</v>
      </c>
      <c r="AF864" s="2" t="s">
        <v>7</v>
      </c>
      <c r="AG864" s="2" t="s">
        <v>35</v>
      </c>
    </row>
    <row r="927" spans="31:33" ht="15" customHeight="1" x14ac:dyDescent="0.3">
      <c r="AE927" s="2" t="s">
        <v>13</v>
      </c>
      <c r="AF927" s="2" t="s">
        <v>7</v>
      </c>
      <c r="AG927" s="2" t="s">
        <v>35</v>
      </c>
    </row>
    <row r="990" spans="31:33" ht="15" customHeight="1" x14ac:dyDescent="0.3">
      <c r="AE990" s="2" t="s">
        <v>13</v>
      </c>
      <c r="AF990" s="2" t="s">
        <v>7</v>
      </c>
      <c r="AG990" s="2" t="s">
        <v>35</v>
      </c>
    </row>
    <row r="1053" spans="31:33" ht="15" customHeight="1" x14ac:dyDescent="0.3">
      <c r="AE1053" s="2" t="s">
        <v>13</v>
      </c>
      <c r="AF1053" s="2" t="s">
        <v>7</v>
      </c>
      <c r="AG1053" s="2" t="s">
        <v>35</v>
      </c>
    </row>
    <row r="1116" spans="31:33" ht="15" customHeight="1" x14ac:dyDescent="0.3">
      <c r="AE1116" s="2" t="s">
        <v>16</v>
      </c>
      <c r="AF1116" s="2" t="s">
        <v>17</v>
      </c>
      <c r="AG1116" s="2" t="s">
        <v>35</v>
      </c>
    </row>
    <row r="1177" spans="31:33" ht="15" customHeight="1" x14ac:dyDescent="0.3">
      <c r="AE1177" s="2" t="s">
        <v>14</v>
      </c>
      <c r="AF1177" s="2" t="s">
        <v>15</v>
      </c>
      <c r="AG1177" s="2" t="s">
        <v>35</v>
      </c>
    </row>
    <row r="1240" spans="31:33" ht="15" customHeight="1" x14ac:dyDescent="0.3">
      <c r="AE1240" s="2" t="s">
        <v>19</v>
      </c>
      <c r="AF1240" s="2" t="s">
        <v>15</v>
      </c>
      <c r="AG1240" s="2" t="s">
        <v>35</v>
      </c>
    </row>
    <row r="1253" spans="31:34" ht="15" customHeight="1" x14ac:dyDescent="0.3">
      <c r="AE1253"/>
      <c r="AF1253"/>
      <c r="AG1253"/>
    </row>
    <row r="1254" spans="31:34" ht="15" customHeight="1" x14ac:dyDescent="0.3">
      <c r="AE1254"/>
      <c r="AF1254"/>
      <c r="AG1254"/>
    </row>
    <row r="1255" spans="31:34" ht="15" customHeight="1" x14ac:dyDescent="0.3">
      <c r="AE1255"/>
      <c r="AF1255"/>
      <c r="AG1255"/>
    </row>
    <row r="1258" spans="31:34" ht="15" customHeight="1" x14ac:dyDescent="0.3">
      <c r="AH1258"/>
    </row>
    <row r="1259" spans="31:34" ht="15" customHeight="1" x14ac:dyDescent="0.3">
      <c r="AH1259"/>
    </row>
    <row r="1260" spans="31:34" ht="15" customHeight="1" x14ac:dyDescent="0.3">
      <c r="AH1260"/>
    </row>
    <row r="1303" spans="31:33" ht="15" customHeight="1" x14ac:dyDescent="0.3">
      <c r="AE1303" s="2" t="s">
        <v>19</v>
      </c>
      <c r="AF1303" s="2" t="s">
        <v>15</v>
      </c>
      <c r="AG1303" s="2" t="s">
        <v>35</v>
      </c>
    </row>
    <row r="1315" spans="24:34" ht="15" customHeight="1" x14ac:dyDescent="0.3">
      <c r="X1315"/>
    </row>
    <row r="1316" spans="24:34" customFormat="1" ht="15" customHeight="1" x14ac:dyDescent="0.3">
      <c r="AE1316" s="2"/>
      <c r="AF1316" s="2"/>
      <c r="AG1316" s="2"/>
      <c r="AH1316" s="2"/>
    </row>
    <row r="1317" spans="24:34" customFormat="1" ht="15" customHeight="1" x14ac:dyDescent="0.3">
      <c r="AE1317" s="2"/>
      <c r="AF1317" s="2"/>
      <c r="AG1317" s="2"/>
      <c r="AH1317" s="2"/>
    </row>
    <row r="1318" spans="24:34" customFormat="1" ht="15" customHeight="1" x14ac:dyDescent="0.3">
      <c r="X1318" s="2"/>
      <c r="AE1318" s="2"/>
      <c r="AF1318" s="2"/>
      <c r="AG1318" s="2"/>
      <c r="AH1318" s="2"/>
    </row>
    <row r="1366" spans="31:33" ht="15" customHeight="1" x14ac:dyDescent="0.3">
      <c r="AE1366" s="2" t="s">
        <v>19</v>
      </c>
      <c r="AF1366" s="2" t="s">
        <v>15</v>
      </c>
      <c r="AG1366" s="2" t="s">
        <v>35</v>
      </c>
    </row>
    <row r="1429" spans="31:33" ht="15" customHeight="1" x14ac:dyDescent="0.3">
      <c r="AE1429" s="2" t="s">
        <v>19</v>
      </c>
      <c r="AF1429" s="2" t="s">
        <v>15</v>
      </c>
      <c r="AG1429" s="2" t="s">
        <v>35</v>
      </c>
    </row>
    <row r="1492" spans="31:33" ht="15" customHeight="1" x14ac:dyDescent="0.3">
      <c r="AE1492" s="2" t="s">
        <v>19</v>
      </c>
      <c r="AF1492" s="2" t="s">
        <v>15</v>
      </c>
      <c r="AG1492" s="2" t="s">
        <v>35</v>
      </c>
    </row>
    <row r="1555" spans="31:33" ht="15" customHeight="1" x14ac:dyDescent="0.3">
      <c r="AE1555" s="2" t="s">
        <v>19</v>
      </c>
      <c r="AF1555" s="2" t="s">
        <v>15</v>
      </c>
      <c r="AG1555" s="2" t="s">
        <v>35</v>
      </c>
    </row>
    <row r="1618" spans="31:33" ht="15" customHeight="1" x14ac:dyDescent="0.3">
      <c r="AE1618" s="2" t="s">
        <v>20</v>
      </c>
      <c r="AF1618" s="2" t="s">
        <v>15</v>
      </c>
      <c r="AG1618" s="2" t="s">
        <v>35</v>
      </c>
    </row>
    <row r="1619" spans="31:33" ht="15" customHeight="1" x14ac:dyDescent="0.3">
      <c r="AE1619" s="2" t="s">
        <v>13</v>
      </c>
      <c r="AF1619" s="2" t="s">
        <v>7</v>
      </c>
      <c r="AG1619" s="2" t="s">
        <v>35</v>
      </c>
    </row>
    <row r="1620" spans="31:33" ht="15" customHeight="1" x14ac:dyDescent="0.3">
      <c r="AE1620" s="2" t="s">
        <v>46</v>
      </c>
      <c r="AF1620" s="2" t="s">
        <v>47</v>
      </c>
      <c r="AG1620" s="2" t="s">
        <v>35</v>
      </c>
    </row>
    <row r="1621" spans="31:33" ht="15" customHeight="1" x14ac:dyDescent="0.3">
      <c r="AE1621" s="2" t="s">
        <v>46</v>
      </c>
      <c r="AF1621" s="2" t="s">
        <v>47</v>
      </c>
      <c r="AG1621" s="2" t="s">
        <v>35</v>
      </c>
    </row>
    <row r="1622" spans="31:33" ht="15" customHeight="1" x14ac:dyDescent="0.3">
      <c r="AE1622" s="2" t="s">
        <v>46</v>
      </c>
      <c r="AF1622" s="2" t="s">
        <v>47</v>
      </c>
      <c r="AG1622" s="2" t="s">
        <v>35</v>
      </c>
    </row>
    <row r="1623" spans="31:33" ht="15" customHeight="1" x14ac:dyDescent="0.3">
      <c r="AE1623" s="2" t="s">
        <v>46</v>
      </c>
      <c r="AF1623" s="2" t="s">
        <v>47</v>
      </c>
      <c r="AG1623" s="2" t="s">
        <v>35</v>
      </c>
    </row>
    <row r="1624" spans="31:33" ht="15" customHeight="1" x14ac:dyDescent="0.3">
      <c r="AE1624" s="2" t="s">
        <v>46</v>
      </c>
      <c r="AF1624" s="2" t="s">
        <v>47</v>
      </c>
      <c r="AG1624" s="2" t="s">
        <v>35</v>
      </c>
    </row>
    <row r="1625" spans="31:33" ht="15" customHeight="1" x14ac:dyDescent="0.3">
      <c r="AE1625" s="2" t="s">
        <v>46</v>
      </c>
      <c r="AF1625" s="2" t="s">
        <v>47</v>
      </c>
      <c r="AG1625" s="2" t="s">
        <v>35</v>
      </c>
    </row>
    <row r="1626" spans="31:33" ht="15" customHeight="1" x14ac:dyDescent="0.3">
      <c r="AE1626" s="2" t="s">
        <v>19</v>
      </c>
      <c r="AF1626" s="2" t="s">
        <v>15</v>
      </c>
      <c r="AG1626" s="2" t="s">
        <v>35</v>
      </c>
    </row>
    <row r="1689" spans="31:33" ht="15" customHeight="1" x14ac:dyDescent="0.3">
      <c r="AE1689" s="2" t="s">
        <v>13</v>
      </c>
      <c r="AF1689" s="2" t="s">
        <v>7</v>
      </c>
      <c r="AG1689" s="2" t="s">
        <v>35</v>
      </c>
    </row>
    <row r="1690" spans="31:33" ht="15" customHeight="1" x14ac:dyDescent="0.3">
      <c r="AE1690" s="2" t="s">
        <v>12</v>
      </c>
      <c r="AF1690" s="2" t="s">
        <v>7</v>
      </c>
      <c r="AG1690" s="2" t="s">
        <v>35</v>
      </c>
    </row>
    <row r="1691" spans="31:33" ht="15" customHeight="1" x14ac:dyDescent="0.3">
      <c r="AE1691" s="2" t="s">
        <v>0</v>
      </c>
      <c r="AF1691" s="2" t="s">
        <v>1</v>
      </c>
      <c r="AG1691" s="2" t="s">
        <v>34</v>
      </c>
    </row>
    <row r="1692" spans="31:33" ht="15" customHeight="1" x14ac:dyDescent="0.3">
      <c r="AE1692" s="2" t="s">
        <v>11</v>
      </c>
      <c r="AF1692" s="2" t="s">
        <v>5</v>
      </c>
      <c r="AG1692" s="2" t="s">
        <v>35</v>
      </c>
    </row>
    <row r="1693" spans="31:33" ht="15" customHeight="1" x14ac:dyDescent="0.3">
      <c r="AE1693" s="2" t="s">
        <v>11</v>
      </c>
      <c r="AF1693" s="2" t="s">
        <v>5</v>
      </c>
      <c r="AG1693" s="2" t="s">
        <v>35</v>
      </c>
    </row>
    <row r="1694" spans="31:33" ht="15" customHeight="1" x14ac:dyDescent="0.3">
      <c r="AE1694" s="2" t="s">
        <v>0</v>
      </c>
      <c r="AF1694" s="2" t="s">
        <v>1</v>
      </c>
      <c r="AG1694" s="2" t="s">
        <v>34</v>
      </c>
    </row>
    <row r="1048553" spans="5:7" ht="15" customHeight="1" x14ac:dyDescent="0.3">
      <c r="E1048553" t="s">
        <v>14</v>
      </c>
      <c r="F1048553" t="s">
        <v>15</v>
      </c>
      <c r="G1048553" t="s">
        <v>35</v>
      </c>
    </row>
  </sheetData>
  <sortState ref="A2:G2">
    <sortCondition descending="1" ref="F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otón 7">
              <controlPr defaultSize="0" autoFill="0" autoPict="0" macro="[0]!Cargar_Inventario">
                <anchor moveWithCells="1" sizeWithCells="1">
                  <from>
                    <xdr:col>17</xdr:col>
                    <xdr:colOff>30480</xdr:colOff>
                    <xdr:row>16</xdr:row>
                    <xdr:rowOff>60960</xdr:rowOff>
                  </from>
                  <to>
                    <xdr:col>19</xdr:col>
                    <xdr:colOff>419100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otón 9">
              <controlPr defaultSize="0" autoFill="0" autoPict="0" macro="[0]!Actualizar">
                <anchor moveWithCells="1" sizeWithCells="1">
                  <from>
                    <xdr:col>14</xdr:col>
                    <xdr:colOff>76200</xdr:colOff>
                    <xdr:row>16</xdr:row>
                    <xdr:rowOff>60960</xdr:rowOff>
                  </from>
                  <to>
                    <xdr:col>16</xdr:col>
                    <xdr:colOff>449580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otón 10">
              <controlPr defaultSize="0" autoFill="0" autoPict="0" macro="[0]!Almacenaje_Botón10_Haga_clic_en">
                <anchor moveWithCells="1" sizeWithCells="1">
                  <from>
                    <xdr:col>14</xdr:col>
                    <xdr:colOff>106680</xdr:colOff>
                    <xdr:row>20</xdr:row>
                    <xdr:rowOff>68580</xdr:rowOff>
                  </from>
                  <to>
                    <xdr:col>16</xdr:col>
                    <xdr:colOff>457200</xdr:colOff>
                    <xdr:row>23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otón 11">
              <controlPr defaultSize="0" autoFill="0" autoPict="0" macro="[0]!Botón11_Haga_clic_en">
                <anchor moveWithCells="1" sizeWithCells="1">
                  <from>
                    <xdr:col>17</xdr:col>
                    <xdr:colOff>68580</xdr:colOff>
                    <xdr:row>20</xdr:row>
                    <xdr:rowOff>30480</xdr:rowOff>
                  </from>
                  <to>
                    <xdr:col>19</xdr:col>
                    <xdr:colOff>373380</xdr:colOff>
                    <xdr:row>23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Botón 12">
              <controlPr defaultSize="0" autoFill="0" autoPict="0" macro="[0]!Botón12_Haga_clic_en">
                <anchor moveWithCells="1" sizeWithCells="1">
                  <from>
                    <xdr:col>15</xdr:col>
                    <xdr:colOff>243840</xdr:colOff>
                    <xdr:row>24</xdr:row>
                    <xdr:rowOff>38100</xdr:rowOff>
                  </from>
                  <to>
                    <xdr:col>18</xdr:col>
                    <xdr:colOff>251460</xdr:colOff>
                    <xdr:row>27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26"/>
  <sheetViews>
    <sheetView workbookViewId="0">
      <selection activeCell="I24" sqref="I24"/>
    </sheetView>
  </sheetViews>
  <sheetFormatPr baseColWidth="10" defaultRowHeight="14.4" x14ac:dyDescent="0.3"/>
  <sheetData>
    <row r="1" spans="1:4" x14ac:dyDescent="0.3">
      <c r="A1" t="s">
        <v>0</v>
      </c>
      <c r="B1" t="s">
        <v>1</v>
      </c>
      <c r="C1">
        <v>300</v>
      </c>
      <c r="D1">
        <v>4100</v>
      </c>
    </row>
    <row r="2" spans="1:4" x14ac:dyDescent="0.3">
      <c r="A2" t="s">
        <v>2</v>
      </c>
      <c r="B2" t="s">
        <v>3</v>
      </c>
      <c r="C2">
        <v>200</v>
      </c>
      <c r="D2">
        <v>4000</v>
      </c>
    </row>
    <row r="3" spans="1:4" x14ac:dyDescent="0.3">
      <c r="A3" t="s">
        <v>4</v>
      </c>
      <c r="B3" t="s">
        <v>5</v>
      </c>
      <c r="C3">
        <v>250</v>
      </c>
      <c r="D3">
        <v>3000</v>
      </c>
    </row>
    <row r="4" spans="1:4" x14ac:dyDescent="0.3">
      <c r="A4" t="s">
        <v>6</v>
      </c>
      <c r="B4" t="s">
        <v>7</v>
      </c>
      <c r="C4">
        <v>200</v>
      </c>
      <c r="D4">
        <v>3400</v>
      </c>
    </row>
    <row r="5" spans="1:4" x14ac:dyDescent="0.3">
      <c r="A5" t="s">
        <v>8</v>
      </c>
      <c r="B5" t="s">
        <v>7</v>
      </c>
      <c r="C5">
        <v>250</v>
      </c>
      <c r="D5">
        <v>2300</v>
      </c>
    </row>
    <row r="6" spans="1:4" x14ac:dyDescent="0.3">
      <c r="A6" t="s">
        <v>9</v>
      </c>
      <c r="B6" t="s">
        <v>7</v>
      </c>
      <c r="C6">
        <v>300</v>
      </c>
      <c r="D6">
        <v>1100</v>
      </c>
    </row>
    <row r="7" spans="1:4" x14ac:dyDescent="0.3">
      <c r="A7" t="s">
        <v>10</v>
      </c>
      <c r="B7" t="s">
        <v>7</v>
      </c>
      <c r="C7">
        <v>200</v>
      </c>
      <c r="D7">
        <v>1650</v>
      </c>
    </row>
    <row r="8" spans="1:4" x14ac:dyDescent="0.3">
      <c r="A8" t="s">
        <v>11</v>
      </c>
      <c r="B8" t="s">
        <v>5</v>
      </c>
      <c r="C8">
        <v>450</v>
      </c>
      <c r="D8">
        <v>560</v>
      </c>
    </row>
    <row r="9" spans="1:4" x14ac:dyDescent="0.3">
      <c r="A9" t="s">
        <v>12</v>
      </c>
      <c r="B9" t="s">
        <v>7</v>
      </c>
      <c r="C9">
        <v>300</v>
      </c>
      <c r="D9">
        <v>700</v>
      </c>
    </row>
    <row r="10" spans="1:4" x14ac:dyDescent="0.3">
      <c r="A10" t="s">
        <v>13</v>
      </c>
      <c r="B10" t="s">
        <v>7</v>
      </c>
      <c r="C10">
        <v>200</v>
      </c>
      <c r="D10">
        <v>870</v>
      </c>
    </row>
    <row r="11" spans="1:4" x14ac:dyDescent="0.3">
      <c r="A11" t="s">
        <v>14</v>
      </c>
      <c r="B11" t="s">
        <v>15</v>
      </c>
      <c r="C11">
        <v>200</v>
      </c>
      <c r="D11">
        <v>460</v>
      </c>
    </row>
    <row r="12" spans="1:4" x14ac:dyDescent="0.3">
      <c r="A12" t="s">
        <v>16</v>
      </c>
      <c r="B12" t="s">
        <v>17</v>
      </c>
      <c r="C12">
        <v>100</v>
      </c>
      <c r="D12">
        <v>780</v>
      </c>
    </row>
    <row r="13" spans="1:4" x14ac:dyDescent="0.3">
      <c r="A13" t="s">
        <v>18</v>
      </c>
      <c r="B13" t="s">
        <v>15</v>
      </c>
      <c r="C13">
        <v>100</v>
      </c>
      <c r="D13">
        <v>680</v>
      </c>
    </row>
    <row r="14" spans="1:4" x14ac:dyDescent="0.3">
      <c r="A14" t="s">
        <v>19</v>
      </c>
      <c r="B14" t="s">
        <v>15</v>
      </c>
      <c r="C14">
        <v>100</v>
      </c>
      <c r="D14">
        <v>630</v>
      </c>
    </row>
    <row r="15" spans="1:4" x14ac:dyDescent="0.3">
      <c r="A15" t="s">
        <v>20</v>
      </c>
      <c r="B15" t="s">
        <v>15</v>
      </c>
      <c r="C15">
        <v>60</v>
      </c>
      <c r="D15">
        <v>860</v>
      </c>
    </row>
    <row r="16" spans="1:4" x14ac:dyDescent="0.3">
      <c r="A16" t="s">
        <v>21</v>
      </c>
      <c r="B16" t="s">
        <v>15</v>
      </c>
      <c r="C16">
        <v>50</v>
      </c>
      <c r="D16">
        <v>990</v>
      </c>
    </row>
    <row r="17" spans="1:4" x14ac:dyDescent="0.3">
      <c r="A17" t="s">
        <v>22</v>
      </c>
      <c r="B17" t="s">
        <v>17</v>
      </c>
      <c r="C17">
        <v>50</v>
      </c>
      <c r="D17">
        <v>860</v>
      </c>
    </row>
    <row r="18" spans="1:4" x14ac:dyDescent="0.3">
      <c r="A18" t="s">
        <v>23</v>
      </c>
      <c r="B18" t="s">
        <v>24</v>
      </c>
      <c r="C18">
        <v>15</v>
      </c>
      <c r="D18">
        <v>2120</v>
      </c>
    </row>
    <row r="19" spans="1:4" x14ac:dyDescent="0.3">
      <c r="A19" t="s">
        <v>25</v>
      </c>
      <c r="B19" t="s">
        <v>15</v>
      </c>
      <c r="C19">
        <v>30</v>
      </c>
      <c r="D19">
        <v>1020</v>
      </c>
    </row>
    <row r="20" spans="1:4" x14ac:dyDescent="0.3">
      <c r="A20" t="s">
        <v>26</v>
      </c>
      <c r="B20" t="s">
        <v>27</v>
      </c>
      <c r="C20">
        <v>80</v>
      </c>
      <c r="D20">
        <v>380</v>
      </c>
    </row>
    <row r="21" spans="1:4" x14ac:dyDescent="0.3">
      <c r="A21" t="s">
        <v>28</v>
      </c>
      <c r="B21" t="s">
        <v>15</v>
      </c>
      <c r="C21">
        <v>20</v>
      </c>
      <c r="D21">
        <v>1180</v>
      </c>
    </row>
    <row r="22" spans="1:4" x14ac:dyDescent="0.3">
      <c r="A22" t="s">
        <v>29</v>
      </c>
      <c r="B22" t="s">
        <v>27</v>
      </c>
      <c r="C22">
        <v>40</v>
      </c>
      <c r="D22">
        <v>540</v>
      </c>
    </row>
    <row r="23" spans="1:4" x14ac:dyDescent="0.3">
      <c r="A23" t="s">
        <v>30</v>
      </c>
      <c r="B23" t="s">
        <v>17</v>
      </c>
      <c r="C23">
        <v>20</v>
      </c>
      <c r="D23">
        <v>1040</v>
      </c>
    </row>
    <row r="24" spans="1:4" x14ac:dyDescent="0.3">
      <c r="A24" t="s">
        <v>31</v>
      </c>
      <c r="B24" t="s">
        <v>24</v>
      </c>
      <c r="C24">
        <v>15</v>
      </c>
      <c r="D24">
        <v>1314</v>
      </c>
    </row>
    <row r="25" spans="1:4" x14ac:dyDescent="0.3">
      <c r="A25" t="s">
        <v>32</v>
      </c>
      <c r="B25" t="s">
        <v>27</v>
      </c>
      <c r="C25">
        <v>30</v>
      </c>
      <c r="D25">
        <v>612</v>
      </c>
    </row>
    <row r="26" spans="1:4" x14ac:dyDescent="0.3">
      <c r="A26" t="s">
        <v>33</v>
      </c>
      <c r="B26" t="s">
        <v>24</v>
      </c>
      <c r="C26">
        <v>20</v>
      </c>
      <c r="D26">
        <v>902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Articulos</vt:lpstr>
      <vt:lpstr>Almacenaje</vt:lpstr>
      <vt:lpstr>Hoja1</vt:lpstr>
    </vt:vector>
  </TitlesOfParts>
  <Company>González Loarca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Javier González</dc:creator>
  <cp:lastModifiedBy>Marco Bravo</cp:lastModifiedBy>
  <cp:lastPrinted>2013-08-19T20:15:33Z</cp:lastPrinted>
  <dcterms:created xsi:type="dcterms:W3CDTF">2013-08-17T17:15:32Z</dcterms:created>
  <dcterms:modified xsi:type="dcterms:W3CDTF">2019-12-10T14:01:45Z</dcterms:modified>
</cp:coreProperties>
</file>